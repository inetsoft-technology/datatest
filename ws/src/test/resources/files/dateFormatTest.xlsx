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E:\inetsoft\sr13_6\newtest\datatest\worksheet\build\resources\test\config\files\"/>
    </mc:Choice>
  </mc:AlternateContent>
  <xr:revisionPtr revIDLastSave="0" documentId="13_ncr:1_{7C4A2239-F018-44A4-807C-FEB36487930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valid_date format" sheetId="3" r:id="rId1"/>
    <sheet name="中文_date format" sheetId="4" r:id="rId2"/>
    <sheet name="valid_text format" sheetId="5" r:id="rId3"/>
    <sheet name="中文_text format" sheetId="6" r:id="rId4"/>
    <sheet name="invalid_date format" sheetId="2" r:id="rId5"/>
  </sheets>
  <definedNames>
    <definedName name="_xlnm._FilterDatabase" localSheetId="4" hidden="1">'invalid_date format'!$F$1:$Y$5</definedName>
  </definedNames>
  <calcPr calcId="144525"/>
</workbook>
</file>

<file path=xl/calcChain.xml><?xml version="1.0" encoding="utf-8"?>
<calcChain xmlns="http://schemas.openxmlformats.org/spreadsheetml/2006/main">
  <c r="F7" i="5" l="1"/>
  <c r="E7" i="5"/>
  <c r="D7" i="5"/>
  <c r="C7" i="5"/>
  <c r="F6" i="5"/>
  <c r="E6" i="5"/>
  <c r="D6" i="5"/>
  <c r="C6" i="5"/>
  <c r="I5" i="5"/>
  <c r="F5" i="5"/>
  <c r="E5" i="5"/>
  <c r="D5" i="5"/>
  <c r="C5" i="5"/>
  <c r="I4" i="5"/>
  <c r="F4" i="5"/>
  <c r="E4" i="5"/>
  <c r="D4" i="5"/>
  <c r="C4" i="5"/>
  <c r="I3" i="5"/>
  <c r="F3" i="5"/>
  <c r="E3" i="5"/>
  <c r="D3" i="5"/>
  <c r="C3" i="5"/>
  <c r="I2" i="5"/>
  <c r="F2" i="5"/>
  <c r="E2" i="5"/>
  <c r="D2" i="5"/>
  <c r="C2" i="5"/>
  <c r="Y13" i="3"/>
  <c r="X13" i="3"/>
  <c r="W13" i="3"/>
  <c r="U13" i="3"/>
  <c r="T13" i="3"/>
  <c r="R13" i="3"/>
  <c r="Q13" i="3"/>
  <c r="P13" i="3"/>
  <c r="O13" i="3"/>
  <c r="M13" i="3"/>
  <c r="L13" i="3"/>
  <c r="K13" i="3"/>
  <c r="J13" i="3"/>
  <c r="I13" i="3"/>
  <c r="H13" i="3"/>
  <c r="G13" i="3"/>
  <c r="F13" i="3"/>
  <c r="E13" i="3"/>
  <c r="Y12" i="3"/>
  <c r="X12" i="3"/>
  <c r="W12" i="3"/>
  <c r="U12" i="3"/>
  <c r="T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Y11" i="3"/>
  <c r="X11" i="3"/>
  <c r="W11" i="3"/>
  <c r="U11" i="3"/>
  <c r="T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Y10" i="3"/>
  <c r="X10" i="3"/>
  <c r="W10" i="3"/>
  <c r="U10" i="3"/>
  <c r="T10" i="3"/>
  <c r="R10" i="3"/>
  <c r="Q10" i="3"/>
  <c r="P10" i="3"/>
  <c r="O10" i="3"/>
  <c r="M10" i="3"/>
  <c r="L10" i="3"/>
  <c r="K10" i="3"/>
  <c r="J10" i="3"/>
  <c r="I10" i="3"/>
  <c r="H10" i="3"/>
  <c r="G10" i="3"/>
  <c r="F10" i="3"/>
  <c r="E10" i="3"/>
  <c r="Y9" i="3"/>
  <c r="X9" i="3"/>
  <c r="W9" i="3"/>
  <c r="U9" i="3"/>
  <c r="T9" i="3"/>
  <c r="R9" i="3"/>
  <c r="Q9" i="3"/>
  <c r="P9" i="3"/>
  <c r="O9" i="3"/>
  <c r="M9" i="3"/>
  <c r="L9" i="3"/>
  <c r="K9" i="3"/>
  <c r="J9" i="3"/>
  <c r="I9" i="3"/>
  <c r="H9" i="3"/>
  <c r="G9" i="3"/>
  <c r="F9" i="3"/>
  <c r="E9" i="3"/>
  <c r="Y8" i="3"/>
  <c r="X8" i="3"/>
  <c r="W8" i="3"/>
  <c r="U8" i="3"/>
  <c r="T8" i="3"/>
  <c r="R8" i="3"/>
  <c r="Q8" i="3"/>
  <c r="P8" i="3"/>
  <c r="O8" i="3"/>
  <c r="M8" i="3"/>
  <c r="L8" i="3"/>
  <c r="K8" i="3"/>
  <c r="J8" i="3"/>
  <c r="I8" i="3"/>
  <c r="H8" i="3"/>
  <c r="G8" i="3"/>
  <c r="F8" i="3"/>
  <c r="E8" i="3"/>
  <c r="Y7" i="3"/>
  <c r="X7" i="3"/>
  <c r="W7" i="3"/>
  <c r="U7" i="3"/>
  <c r="T7" i="3"/>
  <c r="R7" i="3"/>
  <c r="Q7" i="3"/>
  <c r="P7" i="3"/>
  <c r="O7" i="3"/>
  <c r="M7" i="3"/>
  <c r="L7" i="3"/>
  <c r="K7" i="3"/>
  <c r="J7" i="3"/>
  <c r="I7" i="3"/>
  <c r="H7" i="3"/>
  <c r="G7" i="3"/>
  <c r="F7" i="3"/>
  <c r="E7" i="3"/>
  <c r="Y6" i="3"/>
  <c r="X6" i="3"/>
  <c r="W6" i="3"/>
  <c r="U6" i="3"/>
  <c r="T6" i="3"/>
  <c r="R6" i="3"/>
  <c r="Q6" i="3"/>
  <c r="P6" i="3"/>
  <c r="O6" i="3"/>
  <c r="M6" i="3"/>
  <c r="L6" i="3"/>
  <c r="K6" i="3"/>
  <c r="J6" i="3"/>
  <c r="I6" i="3"/>
  <c r="H6" i="3"/>
  <c r="G6" i="3"/>
  <c r="F6" i="3"/>
  <c r="E6" i="3"/>
  <c r="Y5" i="3"/>
  <c r="X5" i="3"/>
  <c r="W5" i="3"/>
  <c r="U5" i="3"/>
  <c r="T5" i="3"/>
  <c r="R5" i="3"/>
  <c r="Q5" i="3"/>
  <c r="P5" i="3"/>
  <c r="O5" i="3"/>
  <c r="M5" i="3"/>
  <c r="L5" i="3"/>
  <c r="K5" i="3"/>
  <c r="J5" i="3"/>
  <c r="I5" i="3"/>
  <c r="H5" i="3"/>
  <c r="G5" i="3"/>
  <c r="F5" i="3"/>
  <c r="E5" i="3"/>
  <c r="Y4" i="3"/>
  <c r="X4" i="3"/>
  <c r="W4" i="3"/>
  <c r="U4" i="3"/>
  <c r="T4" i="3"/>
  <c r="R4" i="3"/>
  <c r="Q4" i="3"/>
  <c r="P4" i="3"/>
  <c r="O4" i="3"/>
  <c r="M4" i="3"/>
  <c r="L4" i="3"/>
  <c r="K4" i="3"/>
  <c r="J4" i="3"/>
  <c r="I4" i="3"/>
  <c r="H4" i="3"/>
  <c r="G4" i="3"/>
  <c r="F4" i="3"/>
  <c r="E4" i="3"/>
  <c r="Y3" i="3"/>
  <c r="X3" i="3"/>
  <c r="W3" i="3"/>
  <c r="U3" i="3"/>
  <c r="T3" i="3"/>
  <c r="R3" i="3"/>
  <c r="Q3" i="3"/>
  <c r="P3" i="3"/>
  <c r="O3" i="3"/>
  <c r="M3" i="3"/>
  <c r="L3" i="3"/>
  <c r="K3" i="3"/>
  <c r="J3" i="3"/>
  <c r="I3" i="3"/>
  <c r="H3" i="3"/>
  <c r="G3" i="3"/>
  <c r="F3" i="3"/>
  <c r="E3" i="3"/>
  <c r="Y2" i="3"/>
  <c r="X2" i="3"/>
  <c r="W2" i="3"/>
  <c r="U2" i="3"/>
  <c r="T2" i="3"/>
  <c r="R2" i="3"/>
  <c r="Q2" i="3"/>
  <c r="P2" i="3"/>
  <c r="O2" i="3"/>
  <c r="M2" i="3"/>
  <c r="L2" i="3"/>
  <c r="K2" i="3"/>
  <c r="J2" i="3"/>
  <c r="I2" i="3"/>
  <c r="H2" i="3"/>
  <c r="G2" i="3"/>
  <c r="F2" i="3"/>
  <c r="E2" i="3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<sst xmlns="http://schemas.openxmlformats.org/spreadsheetml/2006/main" count="200" uniqueCount="86">
  <si>
    <t>YYYY-MM-DD</t>
  </si>
  <si>
    <t>YY-MM-DD</t>
  </si>
  <si>
    <t>YYMMDD</t>
  </si>
  <si>
    <t>YYMMMDD</t>
  </si>
  <si>
    <t>YY/M/D</t>
  </si>
  <si>
    <t>YY/MM/DD</t>
  </si>
  <si>
    <t>YYYY, MMM D</t>
  </si>
  <si>
    <t>YYYY, MMM DD</t>
  </si>
  <si>
    <t>YYYY, MMMM D</t>
  </si>
  <si>
    <t>YYYY, MMMM DD</t>
  </si>
  <si>
    <t>MMDDYY</t>
  </si>
  <si>
    <t>M/D/YY</t>
  </si>
  <si>
    <t>MM/DD/YY</t>
  </si>
  <si>
    <t>MMMDDYY</t>
  </si>
  <si>
    <t>MMM D, YYYY</t>
  </si>
  <si>
    <t>MMM DD, YYYY</t>
  </si>
  <si>
    <t>MMM-DD-YY</t>
  </si>
  <si>
    <t>MMMM D, YYYY</t>
  </si>
  <si>
    <t>DDMMYY</t>
  </si>
  <si>
    <t>D/MM/YY</t>
  </si>
  <si>
    <t>DD/MM/YY</t>
  </si>
  <si>
    <t>DDMMMYY</t>
  </si>
  <si>
    <t>D MMMM, YY</t>
  </si>
  <si>
    <t>DD-MMM-YYYY</t>
  </si>
  <si>
    <t>DD MMM, YYYY</t>
  </si>
  <si>
    <t>DD-MM-yyyy</t>
  </si>
  <si>
    <t>YYYY-MM-D</t>
  </si>
  <si>
    <t>YY-MM-D</t>
  </si>
  <si>
    <t>D-MM-YYYY</t>
  </si>
  <si>
    <t>YYYY/MM/D</t>
  </si>
  <si>
    <t>YY/MM/D</t>
  </si>
  <si>
    <t>D/MM/YYYY</t>
  </si>
  <si>
    <t>N/A</t>
  </si>
  <si>
    <t>Not in DB</t>
  </si>
  <si>
    <t>yyyyMMD</t>
  </si>
  <si>
    <t>D MM,YYYY</t>
  </si>
  <si>
    <t>yyMMDD</t>
  </si>
  <si>
    <t>YYYY</t>
  </si>
  <si>
    <t>1902-11-11</t>
  </si>
  <si>
    <t>02-11-11</t>
  </si>
  <si>
    <t>11-11-1902</t>
  </si>
  <si>
    <t>1902</t>
  </si>
  <si>
    <t>2022-03-13</t>
  </si>
  <si>
    <t>22-03-13</t>
  </si>
  <si>
    <t>13-03-2022</t>
  </si>
  <si>
    <t>2022</t>
  </si>
  <si>
    <t>2020-06-16</t>
  </si>
  <si>
    <t>20-06-16</t>
  </si>
  <si>
    <t>16-06-2020</t>
  </si>
  <si>
    <t>2020</t>
  </si>
  <si>
    <t>2019-02-02</t>
  </si>
  <si>
    <t>19-02-02</t>
  </si>
  <si>
    <t>02-02-2019</t>
  </si>
  <si>
    <t>2019</t>
  </si>
  <si>
    <t>2-02-2019</t>
  </si>
  <si>
    <t>2019-07-12</t>
  </si>
  <si>
    <t>19-07-12</t>
  </si>
  <si>
    <t>12-07-2019</t>
  </si>
  <si>
    <t>2019-01-10</t>
  </si>
  <si>
    <t>19-01-10</t>
  </si>
  <si>
    <t>10-01-2019</t>
  </si>
  <si>
    <t>2018</t>
  </si>
  <si>
    <t>yyyy/MMM/D</t>
  </si>
  <si>
    <t>yyyy/MMM/DD</t>
  </si>
  <si>
    <r>
      <rPr>
        <sz val="10"/>
        <color theme="1"/>
        <rFont val="MS Sans Serif"/>
        <family val="2"/>
      </rPr>
      <t>1902/</t>
    </r>
    <r>
      <rPr>
        <sz val="10"/>
        <color theme="1"/>
        <rFont val="宋体"/>
        <family val="3"/>
        <charset val="134"/>
      </rPr>
      <t>十一月</t>
    </r>
    <r>
      <rPr>
        <sz val="10"/>
        <color theme="1"/>
        <rFont val="MS Sans Serif"/>
        <family val="2"/>
      </rPr>
      <t>/11</t>
    </r>
  </si>
  <si>
    <r>
      <rPr>
        <sz val="10"/>
        <color theme="1"/>
        <rFont val="MS Sans Serif"/>
        <family val="2"/>
      </rPr>
      <t>1902/</t>
    </r>
    <r>
      <rPr>
        <sz val="10"/>
        <color theme="1"/>
        <rFont val="宋体"/>
        <family val="3"/>
        <charset val="134"/>
      </rPr>
      <t>Nov</t>
    </r>
    <r>
      <rPr>
        <sz val="10"/>
        <color theme="1"/>
        <rFont val="MS Sans Serif"/>
        <family val="2"/>
      </rPr>
      <t>/11</t>
    </r>
  </si>
  <si>
    <r>
      <rPr>
        <sz val="10"/>
        <color theme="1"/>
        <rFont val="MS Sans Serif"/>
        <family val="2"/>
      </rPr>
      <t>2022/</t>
    </r>
    <r>
      <rPr>
        <sz val="10"/>
        <color theme="1"/>
        <rFont val="宋体"/>
        <family val="3"/>
        <charset val="134"/>
      </rPr>
      <t>十一月</t>
    </r>
    <r>
      <rPr>
        <sz val="10"/>
        <color theme="1"/>
        <rFont val="MS Sans Serif"/>
        <family val="2"/>
      </rPr>
      <t>/13</t>
    </r>
  </si>
  <si>
    <r>
      <rPr>
        <sz val="10"/>
        <color theme="1"/>
        <rFont val="MS Sans Serif"/>
        <family val="2"/>
      </rPr>
      <t>2022/</t>
    </r>
    <r>
      <rPr>
        <sz val="10"/>
        <color theme="1"/>
        <rFont val="宋体"/>
        <family val="3"/>
        <charset val="134"/>
      </rPr>
      <t>Nov</t>
    </r>
    <r>
      <rPr>
        <sz val="10"/>
        <color theme="1"/>
        <rFont val="MS Sans Serif"/>
        <family val="2"/>
      </rPr>
      <t>/13</t>
    </r>
  </si>
  <si>
    <r>
      <rPr>
        <sz val="10"/>
        <color theme="1"/>
        <rFont val="MS Sans Serif"/>
        <family val="2"/>
      </rPr>
      <t>2020/</t>
    </r>
    <r>
      <rPr>
        <sz val="10"/>
        <color theme="1"/>
        <rFont val="宋体"/>
        <family val="3"/>
        <charset val="134"/>
      </rPr>
      <t>六月</t>
    </r>
    <r>
      <rPr>
        <sz val="10"/>
        <color theme="1"/>
        <rFont val="MS Sans Serif"/>
        <family val="2"/>
      </rPr>
      <t>/16</t>
    </r>
  </si>
  <si>
    <t>2020/Jun/16</t>
  </si>
  <si>
    <r>
      <rPr>
        <sz val="10"/>
        <color theme="1"/>
        <rFont val="MS Sans Serif"/>
        <family val="2"/>
      </rPr>
      <t>2021/</t>
    </r>
    <r>
      <rPr>
        <sz val="10"/>
        <color theme="1"/>
        <rFont val="宋体"/>
        <family val="3"/>
        <charset val="134"/>
      </rPr>
      <t>八月</t>
    </r>
    <r>
      <rPr>
        <sz val="10"/>
        <color theme="1"/>
        <rFont val="MS Sans Serif"/>
        <family val="2"/>
      </rPr>
      <t>/6</t>
    </r>
  </si>
  <si>
    <t>2021/Aug/06</t>
  </si>
  <si>
    <r>
      <rPr>
        <sz val="10"/>
        <color theme="1"/>
        <rFont val="MS Sans Serif"/>
        <family val="2"/>
      </rPr>
      <t>2022/</t>
    </r>
    <r>
      <rPr>
        <sz val="10"/>
        <color theme="1"/>
        <rFont val="宋体"/>
        <family val="3"/>
        <charset val="134"/>
      </rPr>
      <t>十月</t>
    </r>
    <r>
      <rPr>
        <sz val="10"/>
        <color theme="1"/>
        <rFont val="MS Sans Serif"/>
        <family val="2"/>
      </rPr>
      <t>/3</t>
    </r>
  </si>
  <si>
    <t>2022/Oct/03</t>
  </si>
  <si>
    <r>
      <rPr>
        <sz val="10"/>
        <color theme="1"/>
        <rFont val="MS Sans Serif"/>
        <family val="2"/>
      </rPr>
      <t>2022/</t>
    </r>
    <r>
      <rPr>
        <sz val="10"/>
        <color theme="1"/>
        <rFont val="宋体"/>
        <family val="3"/>
        <charset val="134"/>
      </rPr>
      <t>十一月</t>
    </r>
    <r>
      <rPr>
        <sz val="10"/>
        <color theme="1"/>
        <rFont val="MS Sans Serif"/>
        <family val="2"/>
      </rPr>
      <t>/15</t>
    </r>
  </si>
  <si>
    <t>2022/Nov/15</t>
  </si>
  <si>
    <r>
      <rPr>
        <sz val="10"/>
        <color theme="1"/>
        <rFont val="MS Sans Serif"/>
        <family val="2"/>
      </rPr>
      <t>2020/</t>
    </r>
    <r>
      <rPr>
        <sz val="10"/>
        <color theme="1"/>
        <rFont val="宋体"/>
        <family val="3"/>
        <charset val="134"/>
      </rPr>
      <t>五月</t>
    </r>
    <r>
      <rPr>
        <sz val="10"/>
        <color theme="1"/>
        <rFont val="MS Sans Serif"/>
        <family val="2"/>
      </rPr>
      <t>/25</t>
    </r>
  </si>
  <si>
    <t>2020/May/25</t>
  </si>
  <si>
    <r>
      <rPr>
        <sz val="10"/>
        <color theme="1"/>
        <rFont val="MS Sans Serif"/>
        <family val="2"/>
      </rPr>
      <t>2019/</t>
    </r>
    <r>
      <rPr>
        <sz val="10"/>
        <color theme="1"/>
        <rFont val="宋体"/>
        <family val="3"/>
        <charset val="134"/>
      </rPr>
      <t>三月</t>
    </r>
    <r>
      <rPr>
        <sz val="10"/>
        <color theme="1"/>
        <rFont val="MS Sans Serif"/>
        <family val="2"/>
      </rPr>
      <t>/27</t>
    </r>
  </si>
  <si>
    <t>2019/Mar/27</t>
  </si>
  <si>
    <r>
      <rPr>
        <sz val="10"/>
        <color theme="1"/>
        <rFont val="MS Sans Serif"/>
        <family val="2"/>
      </rPr>
      <t>2019/</t>
    </r>
    <r>
      <rPr>
        <sz val="10"/>
        <color theme="1"/>
        <rFont val="宋体"/>
        <family val="3"/>
        <charset val="134"/>
      </rPr>
      <t>二月</t>
    </r>
    <r>
      <rPr>
        <sz val="10"/>
        <color theme="1"/>
        <rFont val="MS Sans Serif"/>
        <family val="2"/>
      </rPr>
      <t>/2</t>
    </r>
  </si>
  <si>
    <t>2019/Feb/02</t>
  </si>
  <si>
    <r>
      <rPr>
        <sz val="10"/>
        <color theme="1"/>
        <rFont val="MS Sans Serif"/>
        <family val="2"/>
      </rPr>
      <t>2019/</t>
    </r>
    <r>
      <rPr>
        <sz val="10"/>
        <color theme="1"/>
        <rFont val="宋体"/>
        <family val="3"/>
        <charset val="134"/>
      </rPr>
      <t>七月</t>
    </r>
    <r>
      <rPr>
        <sz val="10"/>
        <color theme="1"/>
        <rFont val="MS Sans Serif"/>
        <family val="2"/>
      </rPr>
      <t>/12</t>
    </r>
  </si>
  <si>
    <t>2019/Jul/12</t>
  </si>
  <si>
    <r>
      <rPr>
        <sz val="10"/>
        <color theme="1"/>
        <rFont val="MS Sans Serif"/>
        <family val="2"/>
      </rPr>
      <t>2019/</t>
    </r>
    <r>
      <rPr>
        <sz val="10"/>
        <color theme="1"/>
        <rFont val="宋体"/>
        <family val="3"/>
        <charset val="134"/>
      </rPr>
      <t>一月</t>
    </r>
    <r>
      <rPr>
        <sz val="10"/>
        <color theme="1"/>
        <rFont val="MS Sans Serif"/>
        <family val="2"/>
      </rPr>
      <t>/10</t>
    </r>
  </si>
  <si>
    <r>
      <rPr>
        <sz val="10"/>
        <color theme="1"/>
        <rFont val="MS Sans Serif"/>
        <family val="2"/>
      </rPr>
      <t>2019/</t>
    </r>
    <r>
      <rPr>
        <sz val="10"/>
        <color theme="1"/>
        <rFont val="宋体"/>
        <family val="3"/>
        <charset val="134"/>
      </rPr>
      <t>Jan</t>
    </r>
    <r>
      <rPr>
        <sz val="10"/>
        <color theme="1"/>
        <rFont val="MS Sans Serif"/>
        <family val="2"/>
      </rPr>
      <t>/10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</si>
</sst>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76" formatCode="yyyy/mm/d"/>
    <numFmt numFmtId="177" formatCode="dd\-mm\-yyyy"/>
    <numFmt numFmtId="178" formatCode="yy\-mm\-dd"/>
    <numFmt numFmtId="179" formatCode="_(* #,##0.00_);_(* \(#,##0.00\);_(* &quot;-&quot;??_);_(@_)"/>
    <numFmt numFmtId="180" formatCode="m/d/yy;@"/>
    <numFmt numFmtId="181" formatCode="[$-C04]d\ mmmm\,\ yyyy;@"/>
    <numFmt numFmtId="182" formatCode="yyyy\-mm\-dd;@"/>
    <numFmt numFmtId="183" formatCode="d/m/yy;@"/>
    <numFmt numFmtId="184" formatCode="[$-C04]yyyy&quot;年&quot;m&quot;月&quot;d&quot;日&quot;;@"/>
    <numFmt numFmtId="185" formatCode="[$-C04]yy&quot;年&quot;m&quot;月&quot;dd&quot;日&quot;;@"/>
    <numFmt numFmtId="186" formatCode="mm/dd/yy;@"/>
    <numFmt numFmtId="187" formatCode="d/mm/yyyy;@"/>
    <numFmt numFmtId="188" formatCode="yymmdd;@"/>
    <numFmt numFmtId="189" formatCode="yymmmdd;@"/>
    <numFmt numFmtId="190" formatCode="mmmddyy;@"/>
    <numFmt numFmtId="191" formatCode="ddmmyy;@"/>
    <numFmt numFmtId="192" formatCode="ddmmmyy;@"/>
    <numFmt numFmtId="193" formatCode="yy/mm/dd"/>
    <numFmt numFmtId="194" formatCode="yy\-mm\-d"/>
    <numFmt numFmtId="195" formatCode="d\-mm\-yyyy"/>
    <numFmt numFmtId="196" formatCode="yy/mm/d"/>
    <numFmt numFmtId="197" formatCode="yyyy\-mm\-d"/>
    <numFmt numFmtId="198" formatCode="d/mm/yyyy"/>
  </numFmts>
  <fonts count="6" x14ac:knownFonts="1">
    <font>
      <sz val="10"/>
      <name val="MS Sans Serif"/>
      <charset val="134"/>
    </font>
    <font>
      <b/>
      <sz val="10"/>
      <name val="MS Sans Serif"/>
      <family val="2"/>
    </font>
    <font>
      <sz val="10"/>
      <color theme="1"/>
      <name val="MS Sans Serif"/>
      <family val="2"/>
    </font>
    <font>
      <sz val="10"/>
      <color theme="1"/>
      <name val="宋体"/>
      <family val="3"/>
      <charset val="134"/>
    </font>
    <font>
      <sz val="10"/>
      <name val="MS Sans Serif"/>
      <family val="2"/>
    </font>
    <font>
      <sz val="9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179" fontId="4" fillId="0" borderId="0" applyFont="0" applyFill="0" applyBorder="0" applyAlignment="0" applyProtection="0"/>
  </cellStyleXfs>
  <cellXfs count="44">
    <xf numFmtId="0" fontId="0" fillId="0" borderId="0" xfId="0"/>
    <xf numFmtId="180" fontId="1" fillId="0" borderId="1" xfId="0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/>
    <xf numFmtId="0" fontId="1" fillId="0" borderId="1" xfId="0" applyFont="1" applyFill="1" applyBorder="1" applyAlignment="1">
      <alignment vertical="center"/>
    </xf>
    <xf numFmtId="0" fontId="0" fillId="0" borderId="0" xfId="0" applyFill="1"/>
    <xf numFmtId="182" fontId="0" fillId="0" borderId="0" xfId="0" applyNumberFormat="1" applyFill="1"/>
    <xf numFmtId="180" fontId="0" fillId="0" borderId="0" xfId="0" applyNumberFormat="1" applyFill="1"/>
    <xf numFmtId="2" fontId="0" fillId="0" borderId="0" xfId="0" applyNumberFormat="1" applyFont="1" applyFill="1"/>
    <xf numFmtId="182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49" fontId="2" fillId="2" borderId="3" xfId="1" applyNumberFormat="1" applyFont="1" applyFill="1" applyBorder="1"/>
    <xf numFmtId="183" fontId="2" fillId="2" borderId="2" xfId="1" applyNumberFormat="1" applyFont="1" applyFill="1" applyBorder="1"/>
    <xf numFmtId="49" fontId="1" fillId="0" borderId="1" xfId="0" applyNumberFormat="1" applyFont="1" applyFill="1" applyBorder="1" applyAlignment="1">
      <alignment horizontal="center" vertical="center"/>
    </xf>
    <xf numFmtId="184" fontId="2" fillId="2" borderId="2" xfId="1" applyNumberFormat="1" applyFont="1" applyFill="1" applyBorder="1"/>
    <xf numFmtId="181" fontId="2" fillId="2" borderId="2" xfId="1" applyNumberFormat="1" applyFont="1" applyFill="1" applyBorder="1"/>
    <xf numFmtId="185" fontId="2" fillId="2" borderId="2" xfId="1" applyNumberFormat="1" applyFont="1" applyFill="1" applyBorder="1"/>
    <xf numFmtId="186" fontId="0" fillId="0" borderId="0" xfId="0" applyNumberFormat="1" applyFill="1"/>
    <xf numFmtId="187" fontId="0" fillId="0" borderId="0" xfId="1" applyNumberFormat="1" applyFont="1" applyFill="1"/>
    <xf numFmtId="183" fontId="0" fillId="0" borderId="0" xfId="0" applyNumberFormat="1" applyFill="1"/>
    <xf numFmtId="0" fontId="0" fillId="0" borderId="0" xfId="1" applyNumberFormat="1" applyFont="1" applyFill="1"/>
    <xf numFmtId="186" fontId="1" fillId="0" borderId="1" xfId="0" applyNumberFormat="1" applyFont="1" applyFill="1" applyBorder="1" applyAlignment="1">
      <alignment horizontal="center" vertical="center"/>
    </xf>
    <xf numFmtId="187" fontId="1" fillId="0" borderId="1" xfId="0" applyNumberFormat="1" applyFont="1" applyFill="1" applyBorder="1" applyAlignment="1">
      <alignment horizontal="center" vertical="center"/>
    </xf>
    <xf numFmtId="183" fontId="1" fillId="0" borderId="1" xfId="0" applyNumberFormat="1" applyFont="1" applyFill="1" applyBorder="1" applyAlignment="1">
      <alignment vertical="center"/>
    </xf>
    <xf numFmtId="182" fontId="2" fillId="2" borderId="2" xfId="1" applyNumberFormat="1" applyFont="1" applyFill="1" applyBorder="1"/>
    <xf numFmtId="178" fontId="2" fillId="2" borderId="2" xfId="1" applyNumberFormat="1" applyFont="1" applyFill="1" applyBorder="1"/>
    <xf numFmtId="188" fontId="0" fillId="3" borderId="0" xfId="0" applyNumberFormat="1" applyFill="1"/>
    <xf numFmtId="189" fontId="2" fillId="2" borderId="2" xfId="1" applyNumberFormat="1" applyFont="1" applyFill="1" applyBorder="1"/>
    <xf numFmtId="182" fontId="2" fillId="2" borderId="3" xfId="1" applyNumberFormat="1" applyFont="1" applyFill="1" applyBorder="1"/>
    <xf numFmtId="188" fontId="0" fillId="0" borderId="0" xfId="0" applyNumberFormat="1" applyFill="1"/>
    <xf numFmtId="190" fontId="2" fillId="2" borderId="2" xfId="1" applyNumberFormat="1" applyFont="1" applyFill="1" applyBorder="1"/>
    <xf numFmtId="191" fontId="2" fillId="2" borderId="2" xfId="1" applyNumberFormat="1" applyFont="1" applyFill="1" applyBorder="1"/>
    <xf numFmtId="192" fontId="2" fillId="2" borderId="2" xfId="1" applyNumberFormat="1" applyFont="1" applyFill="1" applyBorder="1"/>
    <xf numFmtId="177" fontId="2" fillId="2" borderId="2" xfId="1" applyNumberFormat="1" applyFont="1" applyFill="1" applyBorder="1"/>
    <xf numFmtId="194" fontId="2" fillId="2" borderId="2" xfId="1" applyNumberFormat="1" applyFont="1" applyFill="1" applyBorder="1"/>
    <xf numFmtId="195" fontId="2" fillId="2" borderId="2" xfId="1" applyNumberFormat="1" applyFont="1" applyFill="1" applyBorder="1"/>
    <xf numFmtId="176" fontId="2" fillId="2" borderId="2" xfId="1" applyNumberFormat="1" applyFont="1" applyFill="1" applyBorder="1"/>
    <xf numFmtId="196" fontId="2" fillId="2" borderId="2" xfId="1" applyNumberFormat="1" applyFont="1" applyFill="1" applyBorder="1"/>
    <xf numFmtId="193" fontId="2" fillId="2" borderId="2" xfId="1" applyNumberFormat="1" applyFont="1" applyFill="1" applyBorder="1"/>
    <xf numFmtId="197" fontId="2" fillId="2" borderId="3" xfId="1" applyNumberFormat="1" applyFont="1" applyFill="1" applyBorder="1"/>
    <xf numFmtId="198" fontId="2" fillId="2" borderId="2" xfId="1" applyNumberFormat="1" applyFont="1" applyFill="1" applyBorder="1"/>
    <xf numFmtId="0" fontId="1" fillId="0" borderId="1" xfId="0" quotePrefix="1" applyNumberFormat="1" applyFont="1" applyFill="1" applyBorder="1" applyAlignment="1">
      <alignment horizontal="center" vertical="center"/>
    </xf>
    <xf numFmtId="49" fontId="2" fillId="2" borderId="2" xfId="1" quotePrefix="1" applyNumberFormat="1" applyFont="1" applyFill="1" applyBorder="1"/>
    <xf numFmtId="49" fontId="2" fillId="2" borderId="3" xfId="1" quotePrefix="1" applyNumberFormat="1" applyFont="1" applyFill="1" applyBorder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"/>
  <sheetViews>
    <sheetView topLeftCell="U1" workbookViewId="0">
      <selection activeCell="Y14" sqref="Y14"/>
    </sheetView>
  </sheetViews>
  <sheetFormatPr defaultColWidth="9.140625" defaultRowHeight="12.75" x14ac:dyDescent="0.2"/>
  <cols>
    <col min="1" max="1" width="19.28515625" style="5" customWidth="1"/>
    <col min="2" max="2" width="15.85546875" style="5" customWidth="1"/>
    <col min="3" max="3" width="12.140625" style="17" customWidth="1"/>
    <col min="4" max="4" width="18.140625" style="18" customWidth="1"/>
    <col min="5" max="5" width="15.28515625" style="19" customWidth="1"/>
    <col min="6" max="6" width="15.7109375" style="6" customWidth="1"/>
    <col min="7" max="7" width="15.85546875" style="4" customWidth="1"/>
    <col min="8" max="9" width="16.85546875" style="4" customWidth="1"/>
    <col min="10" max="11" width="18.7109375" style="4" customWidth="1"/>
    <col min="12" max="12" width="13.5703125" style="4" customWidth="1"/>
    <col min="13" max="14" width="13.5703125" style="7" customWidth="1"/>
    <col min="15" max="15" width="14.140625" style="20" customWidth="1"/>
    <col min="16" max="16" width="16.42578125" style="20" customWidth="1"/>
    <col min="17" max="17" width="18.42578125" style="4" customWidth="1"/>
    <col min="18" max="18" width="17" style="4" customWidth="1"/>
    <col min="19" max="19" width="19.85546875" style="4" customWidth="1"/>
    <col min="20" max="20" width="21.28515625" style="4" customWidth="1"/>
    <col min="21" max="21" width="16" style="4" customWidth="1"/>
    <col min="22" max="22" width="17.7109375" style="4" customWidth="1"/>
    <col min="23" max="23" width="33.7109375" style="4" customWidth="1"/>
    <col min="24" max="24" width="20.28515625" style="4" customWidth="1"/>
    <col min="25" max="25" width="23.28515625" style="4" customWidth="1"/>
    <col min="26" max="26" width="14" style="4" customWidth="1"/>
    <col min="27" max="27" width="17.5703125" style="4" customWidth="1"/>
    <col min="28" max="28" width="15.5703125" style="4" customWidth="1"/>
    <col min="29" max="29" width="12.140625" style="4" customWidth="1"/>
    <col min="30" max="30" width="15.5703125" style="4" customWidth="1"/>
    <col min="31" max="31" width="12.140625" style="4" customWidth="1"/>
    <col min="32" max="33" width="15.5703125" style="4" customWidth="1"/>
    <col min="34" max="34" width="10.85546875" style="4"/>
    <col min="35" max="16384" width="9.140625" style="4"/>
  </cols>
  <sheetData>
    <row r="1" spans="1:33" s="3" customFormat="1" ht="25.5" customHeight="1" x14ac:dyDescent="0.2">
      <c r="A1" s="8" t="s">
        <v>0</v>
      </c>
      <c r="B1" s="8" t="s">
        <v>1</v>
      </c>
      <c r="C1" s="21" t="s">
        <v>2</v>
      </c>
      <c r="D1" s="22" t="s">
        <v>3</v>
      </c>
      <c r="E1" s="23" t="s">
        <v>4</v>
      </c>
      <c r="F1" s="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41" t="s">
        <v>22</v>
      </c>
      <c r="X1" s="9" t="s">
        <v>23</v>
      </c>
      <c r="Y1" s="41" t="s">
        <v>24</v>
      </c>
      <c r="Z1" s="1" t="s">
        <v>25</v>
      </c>
      <c r="AA1" s="10" t="s">
        <v>26</v>
      </c>
      <c r="AB1" s="10" t="s">
        <v>27</v>
      </c>
      <c r="AC1" s="10" t="s">
        <v>28</v>
      </c>
      <c r="AD1" s="1" t="s">
        <v>29</v>
      </c>
      <c r="AE1" s="1" t="s">
        <v>30</v>
      </c>
      <c r="AF1" s="1" t="s">
        <v>5</v>
      </c>
      <c r="AG1" s="1" t="s">
        <v>31</v>
      </c>
    </row>
    <row r="2" spans="1:33" x14ac:dyDescent="0.2">
      <c r="A2" s="24">
        <v>1046</v>
      </c>
      <c r="B2" s="25">
        <v>1046</v>
      </c>
      <c r="C2" s="26">
        <v>37571</v>
      </c>
      <c r="D2" s="27">
        <v>1046</v>
      </c>
      <c r="E2" s="12" t="str">
        <f t="shared" ref="E2:E13" si="0">TEXT($A2,"YY/M/D")</f>
        <v>02/11/11</v>
      </c>
      <c r="F2" s="12" t="str">
        <f t="shared" ref="F2:F13" si="1">TEXT($A2,"YY/MM/DD")</f>
        <v>02/11/11</v>
      </c>
      <c r="G2" s="12" t="str">
        <f t="shared" ref="G2:G13" si="2">TEXT($A2,"YYYY, MMM D")</f>
        <v>1902, Nov 11</v>
      </c>
      <c r="H2" s="12" t="str">
        <f t="shared" ref="H2:H13" si="3">TEXT($A2,"YYYY, MMM DD")</f>
        <v>1902, Nov 11</v>
      </c>
      <c r="I2" s="12" t="str">
        <f t="shared" ref="I2:I13" si="4">TEXT($A2,"YYYY, MMMM D")</f>
        <v>1902, November 11</v>
      </c>
      <c r="J2" s="12" t="str">
        <f t="shared" ref="J2:J13" si="5">TEXT($A2,"YYYY, MMMM DD")</f>
        <v>1902, November 11</v>
      </c>
      <c r="K2" s="12" t="str">
        <f t="shared" ref="K2:K13" si="6">TEXT($A2,"MMDDYY")</f>
        <v>111102</v>
      </c>
      <c r="L2" s="12" t="str">
        <f t="shared" ref="L2:L13" si="7">TEXT($A2,"M/D/YY")</f>
        <v>11/11/02</v>
      </c>
      <c r="M2" s="12" t="str">
        <f t="shared" ref="M2:M13" si="8">TEXT($A2,"MM/DD/YY")</f>
        <v>11/11/02</v>
      </c>
      <c r="N2" s="30">
        <v>1046</v>
      </c>
      <c r="O2" s="12" t="str">
        <f t="shared" ref="O2:O13" si="9">TEXT($A2,"MMM D, YYYY")</f>
        <v>Nov 11, 1902</v>
      </c>
      <c r="P2" s="12" t="str">
        <f t="shared" ref="P2:P13" si="10">TEXT($A2,"MMM DD, YYYY")</f>
        <v>Nov 11, 1902</v>
      </c>
      <c r="Q2" s="12" t="str">
        <f t="shared" ref="Q2:Q13" si="11">TEXT($A2,"MMM-DD-YY")</f>
        <v>Nov-11-02</v>
      </c>
      <c r="R2" s="12" t="str">
        <f t="shared" ref="R2:R13" si="12">TEXT($A2,"MMMM D, YYYY")</f>
        <v>November 11, 1902</v>
      </c>
      <c r="S2" s="31">
        <v>1046</v>
      </c>
      <c r="T2" s="12" t="str">
        <f t="shared" ref="T2:T13" si="13">TEXT($A2,"D/MM/YY")</f>
        <v>11/11/02</v>
      </c>
      <c r="U2" s="12" t="str">
        <f t="shared" ref="U2:U13" si="14">TEXT($A2,"DD/MM/YY")</f>
        <v>11/11/02</v>
      </c>
      <c r="V2" s="32">
        <v>1046</v>
      </c>
      <c r="W2" s="12" t="str">
        <f t="shared" ref="W2:W13" si="15">TEXT($A2,"D MMMM, YY")</f>
        <v>11 November, 02</v>
      </c>
      <c r="X2" s="12" t="str">
        <f t="shared" ref="X2:X13" si="16">TEXT($A2,"DD-MMM-YYYY")</f>
        <v>11-Nov-1902</v>
      </c>
      <c r="Y2" s="12" t="str">
        <f t="shared" ref="Y2:Y13" si="17">TEXT($A2,"DD MMM, YYYY")</f>
        <v>11 Nov, 1902</v>
      </c>
      <c r="Z2" s="33">
        <v>1046</v>
      </c>
      <c r="AA2" s="24">
        <v>1046</v>
      </c>
      <c r="AB2" s="34">
        <v>1046</v>
      </c>
      <c r="AC2" s="35">
        <v>1046</v>
      </c>
      <c r="AD2" s="36">
        <v>1046</v>
      </c>
      <c r="AE2" s="37">
        <v>1046</v>
      </c>
      <c r="AF2" s="38">
        <v>1046</v>
      </c>
      <c r="AG2" s="40">
        <v>1046</v>
      </c>
    </row>
    <row r="3" spans="1:33" x14ac:dyDescent="0.2">
      <c r="A3" s="28">
        <v>44633</v>
      </c>
      <c r="B3" s="25">
        <v>44633</v>
      </c>
      <c r="C3" s="26">
        <v>44633</v>
      </c>
      <c r="D3" s="27">
        <v>44633</v>
      </c>
      <c r="E3" s="12" t="str">
        <f t="shared" si="0"/>
        <v>22/3/13</v>
      </c>
      <c r="F3" s="12" t="str">
        <f t="shared" si="1"/>
        <v>22/03/13</v>
      </c>
      <c r="G3" s="12" t="str">
        <f t="shared" si="2"/>
        <v>2022, Mar 13</v>
      </c>
      <c r="H3" s="12" t="str">
        <f t="shared" si="3"/>
        <v>2022, Mar 13</v>
      </c>
      <c r="I3" s="12" t="str">
        <f t="shared" si="4"/>
        <v>2022, March 13</v>
      </c>
      <c r="J3" s="12" t="str">
        <f t="shared" si="5"/>
        <v>2022, March 13</v>
      </c>
      <c r="K3" s="12" t="str">
        <f t="shared" si="6"/>
        <v>031322</v>
      </c>
      <c r="L3" s="12" t="str">
        <f t="shared" si="7"/>
        <v>3/13/22</v>
      </c>
      <c r="M3" s="12" t="str">
        <f t="shared" si="8"/>
        <v>03/13/22</v>
      </c>
      <c r="N3" s="30">
        <v>44633</v>
      </c>
      <c r="O3" s="12" t="str">
        <f t="shared" si="9"/>
        <v>Mar 13, 2022</v>
      </c>
      <c r="P3" s="12" t="str">
        <f t="shared" si="10"/>
        <v>Mar 13, 2022</v>
      </c>
      <c r="Q3" s="12" t="str">
        <f t="shared" si="11"/>
        <v>Mar-13-22</v>
      </c>
      <c r="R3" s="12" t="str">
        <f t="shared" si="12"/>
        <v>March 13, 2022</v>
      </c>
      <c r="S3" s="31">
        <v>44633</v>
      </c>
      <c r="T3" s="12" t="str">
        <f t="shared" si="13"/>
        <v>13/03/22</v>
      </c>
      <c r="U3" s="12" t="str">
        <f t="shared" si="14"/>
        <v>13/03/22</v>
      </c>
      <c r="V3" s="32">
        <v>44633</v>
      </c>
      <c r="W3" s="12" t="str">
        <f t="shared" si="15"/>
        <v>13 March, 22</v>
      </c>
      <c r="X3" s="12" t="str">
        <f t="shared" si="16"/>
        <v>13-Mar-2022</v>
      </c>
      <c r="Y3" s="12" t="str">
        <f t="shared" si="17"/>
        <v>13 Mar, 2022</v>
      </c>
      <c r="Z3" s="33">
        <v>44633</v>
      </c>
      <c r="AA3" s="28">
        <v>44633</v>
      </c>
      <c r="AB3" s="34">
        <v>44633</v>
      </c>
      <c r="AC3" s="35">
        <v>44633</v>
      </c>
      <c r="AD3" s="36">
        <v>44633</v>
      </c>
      <c r="AE3" s="37">
        <v>44633</v>
      </c>
      <c r="AF3" s="38">
        <v>44633</v>
      </c>
      <c r="AG3" s="40">
        <v>44633</v>
      </c>
    </row>
    <row r="4" spans="1:33" x14ac:dyDescent="0.2">
      <c r="A4" s="28">
        <v>43998</v>
      </c>
      <c r="B4" s="25">
        <v>43998</v>
      </c>
      <c r="C4" s="26">
        <v>43998</v>
      </c>
      <c r="D4" s="27">
        <v>43998</v>
      </c>
      <c r="E4" s="12" t="str">
        <f t="shared" si="0"/>
        <v>20/6/16</v>
      </c>
      <c r="F4" s="12" t="str">
        <f t="shared" si="1"/>
        <v>20/06/16</v>
      </c>
      <c r="G4" s="12" t="str">
        <f t="shared" si="2"/>
        <v>2020, Jun 16</v>
      </c>
      <c r="H4" s="12" t="str">
        <f t="shared" si="3"/>
        <v>2020, Jun 16</v>
      </c>
      <c r="I4" s="12" t="str">
        <f t="shared" si="4"/>
        <v>2020, June 16</v>
      </c>
      <c r="J4" s="12" t="str">
        <f t="shared" si="5"/>
        <v>2020, June 16</v>
      </c>
      <c r="K4" s="12" t="str">
        <f t="shared" si="6"/>
        <v>061620</v>
      </c>
      <c r="L4" s="12" t="str">
        <f t="shared" si="7"/>
        <v>6/16/20</v>
      </c>
      <c r="M4" s="12" t="str">
        <f t="shared" si="8"/>
        <v>06/16/20</v>
      </c>
      <c r="N4" s="30">
        <v>43998</v>
      </c>
      <c r="O4" s="12" t="str">
        <f t="shared" si="9"/>
        <v>Jun 16, 2020</v>
      </c>
      <c r="P4" s="12" t="str">
        <f t="shared" si="10"/>
        <v>Jun 16, 2020</v>
      </c>
      <c r="Q4" s="12" t="str">
        <f t="shared" si="11"/>
        <v>Jun-16-20</v>
      </c>
      <c r="R4" s="12" t="str">
        <f t="shared" si="12"/>
        <v>June 16, 2020</v>
      </c>
      <c r="S4" s="31">
        <v>43998</v>
      </c>
      <c r="T4" s="12" t="str">
        <f t="shared" si="13"/>
        <v>16/06/20</v>
      </c>
      <c r="U4" s="12" t="str">
        <f t="shared" si="14"/>
        <v>16/06/20</v>
      </c>
      <c r="V4" s="32">
        <v>43998</v>
      </c>
      <c r="W4" s="12" t="str">
        <f t="shared" si="15"/>
        <v>16 June, 20</v>
      </c>
      <c r="X4" s="12" t="str">
        <f t="shared" si="16"/>
        <v>16-Jun-2020</v>
      </c>
      <c r="Y4" s="12" t="str">
        <f t="shared" si="17"/>
        <v>16 Jun, 2020</v>
      </c>
      <c r="Z4" s="33">
        <v>43998</v>
      </c>
      <c r="AA4" s="28">
        <v>43998</v>
      </c>
      <c r="AB4" s="34">
        <v>43998</v>
      </c>
      <c r="AC4" s="35">
        <v>43998</v>
      </c>
      <c r="AD4" s="36">
        <v>43998</v>
      </c>
      <c r="AE4" s="37">
        <v>43998</v>
      </c>
      <c r="AF4" s="38">
        <v>43998</v>
      </c>
      <c r="AG4" s="40">
        <v>43998</v>
      </c>
    </row>
    <row r="5" spans="1:33" x14ac:dyDescent="0.2">
      <c r="A5" s="28">
        <v>44414</v>
      </c>
      <c r="B5" s="25">
        <v>44414</v>
      </c>
      <c r="C5" s="26">
        <v>44414</v>
      </c>
      <c r="D5" s="27">
        <v>44414</v>
      </c>
      <c r="E5" s="12" t="str">
        <f t="shared" si="0"/>
        <v>21/8/6</v>
      </c>
      <c r="F5" s="12" t="str">
        <f t="shared" si="1"/>
        <v>21/08/06</v>
      </c>
      <c r="G5" s="12" t="str">
        <f t="shared" si="2"/>
        <v>2021, Aug 6</v>
      </c>
      <c r="H5" s="12" t="str">
        <f t="shared" si="3"/>
        <v>2021, Aug 06</v>
      </c>
      <c r="I5" s="12" t="str">
        <f t="shared" si="4"/>
        <v>2021, August 6</v>
      </c>
      <c r="J5" s="12" t="str">
        <f t="shared" si="5"/>
        <v>2021, August 06</v>
      </c>
      <c r="K5" s="12" t="str">
        <f t="shared" si="6"/>
        <v>080621</v>
      </c>
      <c r="L5" s="12" t="str">
        <f t="shared" si="7"/>
        <v>8/6/21</v>
      </c>
      <c r="M5" s="12" t="str">
        <f t="shared" si="8"/>
        <v>08/06/21</v>
      </c>
      <c r="N5" s="30">
        <v>44414</v>
      </c>
      <c r="O5" s="12" t="str">
        <f t="shared" si="9"/>
        <v>Aug 6, 2021</v>
      </c>
      <c r="P5" s="12" t="str">
        <f t="shared" si="10"/>
        <v>Aug 06, 2021</v>
      </c>
      <c r="Q5" s="12" t="str">
        <f t="shared" si="11"/>
        <v>Aug-06-21</v>
      </c>
      <c r="R5" s="12" t="str">
        <f t="shared" si="12"/>
        <v>August 6, 2021</v>
      </c>
      <c r="S5" s="31">
        <v>44414</v>
      </c>
      <c r="T5" s="12" t="str">
        <f t="shared" si="13"/>
        <v>6/08/21</v>
      </c>
      <c r="U5" s="12" t="str">
        <f t="shared" si="14"/>
        <v>06/08/21</v>
      </c>
      <c r="V5" s="32">
        <v>44414</v>
      </c>
      <c r="W5" s="12" t="str">
        <f t="shared" si="15"/>
        <v>6 August, 21</v>
      </c>
      <c r="X5" s="12" t="str">
        <f t="shared" si="16"/>
        <v>06-Aug-2021</v>
      </c>
      <c r="Y5" s="12" t="str">
        <f t="shared" si="17"/>
        <v>06 Aug, 2021</v>
      </c>
      <c r="Z5" s="33">
        <v>44414</v>
      </c>
      <c r="AA5" s="39">
        <v>44414</v>
      </c>
      <c r="AB5" s="34">
        <v>44414</v>
      </c>
      <c r="AC5" s="35">
        <v>44414</v>
      </c>
      <c r="AD5" s="36">
        <v>44414</v>
      </c>
      <c r="AE5" s="37">
        <v>44414</v>
      </c>
      <c r="AF5" s="38">
        <v>44414</v>
      </c>
      <c r="AG5" s="40">
        <v>44414</v>
      </c>
    </row>
    <row r="6" spans="1:33" x14ac:dyDescent="0.2">
      <c r="A6" s="28">
        <v>44837</v>
      </c>
      <c r="B6" s="25">
        <v>44837</v>
      </c>
      <c r="C6" s="26">
        <v>44837</v>
      </c>
      <c r="D6" s="27">
        <v>44837</v>
      </c>
      <c r="E6" s="12" t="str">
        <f t="shared" si="0"/>
        <v>22/10/3</v>
      </c>
      <c r="F6" s="12" t="str">
        <f t="shared" si="1"/>
        <v>22/10/03</v>
      </c>
      <c r="G6" s="12" t="str">
        <f t="shared" si="2"/>
        <v>2022, Oct 3</v>
      </c>
      <c r="H6" s="12" t="str">
        <f t="shared" si="3"/>
        <v>2022, Oct 03</v>
      </c>
      <c r="I6" s="12" t="str">
        <f t="shared" si="4"/>
        <v>2022, October 3</v>
      </c>
      <c r="J6" s="12" t="str">
        <f t="shared" si="5"/>
        <v>2022, October 03</v>
      </c>
      <c r="K6" s="12" t="str">
        <f t="shared" si="6"/>
        <v>100322</v>
      </c>
      <c r="L6" s="12" t="str">
        <f t="shared" si="7"/>
        <v>10/3/22</v>
      </c>
      <c r="M6" s="12" t="str">
        <f t="shared" si="8"/>
        <v>10/03/22</v>
      </c>
      <c r="N6" s="30">
        <v>44837</v>
      </c>
      <c r="O6" s="12" t="str">
        <f t="shared" si="9"/>
        <v>Oct 3, 2022</v>
      </c>
      <c r="P6" s="12" t="str">
        <f t="shared" si="10"/>
        <v>Oct 03, 2022</v>
      </c>
      <c r="Q6" s="12" t="str">
        <f t="shared" si="11"/>
        <v>Oct-03-22</v>
      </c>
      <c r="R6" s="12" t="str">
        <f t="shared" si="12"/>
        <v>October 3, 2022</v>
      </c>
      <c r="S6" s="31">
        <v>44837</v>
      </c>
      <c r="T6" s="12" t="str">
        <f t="shared" si="13"/>
        <v>3/10/22</v>
      </c>
      <c r="U6" s="12" t="str">
        <f t="shared" si="14"/>
        <v>03/10/22</v>
      </c>
      <c r="V6" s="32">
        <v>44837</v>
      </c>
      <c r="W6" s="12" t="str">
        <f t="shared" si="15"/>
        <v>3 October, 22</v>
      </c>
      <c r="X6" s="12" t="str">
        <f t="shared" si="16"/>
        <v>03-Oct-2022</v>
      </c>
      <c r="Y6" s="12" t="str">
        <f t="shared" si="17"/>
        <v>03 Oct, 2022</v>
      </c>
      <c r="Z6" s="33">
        <v>44837</v>
      </c>
      <c r="AA6" s="39">
        <v>44837</v>
      </c>
      <c r="AB6" s="34">
        <v>44837</v>
      </c>
      <c r="AC6" s="35">
        <v>44837</v>
      </c>
      <c r="AD6" s="36">
        <v>44837</v>
      </c>
      <c r="AE6" s="37">
        <v>44837</v>
      </c>
      <c r="AF6" s="38">
        <v>44837</v>
      </c>
      <c r="AG6" s="40">
        <v>44837</v>
      </c>
    </row>
    <row r="7" spans="1:33" x14ac:dyDescent="0.2">
      <c r="A7" s="28">
        <v>44880</v>
      </c>
      <c r="B7" s="25">
        <v>44880</v>
      </c>
      <c r="C7" s="26">
        <v>44880</v>
      </c>
      <c r="D7" s="27">
        <v>44880</v>
      </c>
      <c r="E7" s="12" t="str">
        <f t="shared" si="0"/>
        <v>22/11/15</v>
      </c>
      <c r="F7" s="12" t="str">
        <f t="shared" si="1"/>
        <v>22/11/15</v>
      </c>
      <c r="G7" s="12" t="str">
        <f t="shared" si="2"/>
        <v>2022, Nov 15</v>
      </c>
      <c r="H7" s="12" t="str">
        <f t="shared" si="3"/>
        <v>2022, Nov 15</v>
      </c>
      <c r="I7" s="12" t="str">
        <f t="shared" si="4"/>
        <v>2022, November 15</v>
      </c>
      <c r="J7" s="12" t="str">
        <f t="shared" si="5"/>
        <v>2022, November 15</v>
      </c>
      <c r="K7" s="12" t="str">
        <f t="shared" si="6"/>
        <v>111522</v>
      </c>
      <c r="L7" s="12" t="str">
        <f t="shared" si="7"/>
        <v>11/15/22</v>
      </c>
      <c r="M7" s="12" t="str">
        <f t="shared" si="8"/>
        <v>11/15/22</v>
      </c>
      <c r="N7" s="30">
        <v>44880</v>
      </c>
      <c r="O7" s="12" t="str">
        <f t="shared" si="9"/>
        <v>Nov 15, 2022</v>
      </c>
      <c r="P7" s="12" t="str">
        <f t="shared" si="10"/>
        <v>Nov 15, 2022</v>
      </c>
      <c r="Q7" s="12" t="str">
        <f t="shared" si="11"/>
        <v>Nov-15-22</v>
      </c>
      <c r="R7" s="12" t="str">
        <f t="shared" si="12"/>
        <v>November 15, 2022</v>
      </c>
      <c r="S7" s="31">
        <v>44880</v>
      </c>
      <c r="T7" s="12" t="str">
        <f t="shared" si="13"/>
        <v>15/11/22</v>
      </c>
      <c r="U7" s="12" t="str">
        <f t="shared" si="14"/>
        <v>15/11/22</v>
      </c>
      <c r="V7" s="32">
        <v>44880</v>
      </c>
      <c r="W7" s="12" t="str">
        <f t="shared" si="15"/>
        <v>15 November, 22</v>
      </c>
      <c r="X7" s="12" t="str">
        <f t="shared" si="16"/>
        <v>15-Nov-2022</v>
      </c>
      <c r="Y7" s="12" t="str">
        <f t="shared" si="17"/>
        <v>15 Nov, 2022</v>
      </c>
      <c r="Z7" s="33">
        <v>44880</v>
      </c>
      <c r="AA7" s="39">
        <v>44880</v>
      </c>
      <c r="AB7" s="34">
        <v>44880</v>
      </c>
      <c r="AC7" s="35">
        <v>44880</v>
      </c>
      <c r="AD7" s="36">
        <v>44880</v>
      </c>
      <c r="AE7" s="37">
        <v>44880</v>
      </c>
      <c r="AF7" s="38">
        <v>44880</v>
      </c>
      <c r="AG7" s="40">
        <v>44880</v>
      </c>
    </row>
    <row r="8" spans="1:33" x14ac:dyDescent="0.2">
      <c r="A8" s="28">
        <v>43976</v>
      </c>
      <c r="B8" s="25">
        <v>43976</v>
      </c>
      <c r="C8" s="26">
        <v>43976</v>
      </c>
      <c r="D8" s="27">
        <v>43976</v>
      </c>
      <c r="E8" s="12" t="str">
        <f t="shared" si="0"/>
        <v>20/5/25</v>
      </c>
      <c r="F8" s="12" t="str">
        <f t="shared" si="1"/>
        <v>20/05/25</v>
      </c>
      <c r="G8" s="12" t="str">
        <f t="shared" si="2"/>
        <v>2020, May 25</v>
      </c>
      <c r="H8" s="12" t="str">
        <f t="shared" si="3"/>
        <v>2020, May 25</v>
      </c>
      <c r="I8" s="12" t="str">
        <f t="shared" si="4"/>
        <v>2020, May 25</v>
      </c>
      <c r="J8" s="12" t="str">
        <f t="shared" si="5"/>
        <v>2020, May 25</v>
      </c>
      <c r="K8" s="12" t="str">
        <f t="shared" si="6"/>
        <v>052520</v>
      </c>
      <c r="L8" s="12" t="str">
        <f t="shared" si="7"/>
        <v>5/25/20</v>
      </c>
      <c r="M8" s="12" t="str">
        <f t="shared" si="8"/>
        <v>05/25/20</v>
      </c>
      <c r="N8" s="30">
        <v>43976</v>
      </c>
      <c r="O8" s="12" t="str">
        <f t="shared" si="9"/>
        <v>May 25, 2020</v>
      </c>
      <c r="P8" s="12" t="str">
        <f t="shared" si="10"/>
        <v>May 25, 2020</v>
      </c>
      <c r="Q8" s="12" t="str">
        <f t="shared" si="11"/>
        <v>May-25-20</v>
      </c>
      <c r="R8" s="12" t="str">
        <f t="shared" si="12"/>
        <v>May 25, 2020</v>
      </c>
      <c r="S8" s="31">
        <v>43976</v>
      </c>
      <c r="T8" s="12" t="str">
        <f t="shared" si="13"/>
        <v>25/05/20</v>
      </c>
      <c r="U8" s="12" t="str">
        <f t="shared" si="14"/>
        <v>25/05/20</v>
      </c>
      <c r="V8" s="32">
        <v>43976</v>
      </c>
      <c r="W8" s="12" t="str">
        <f t="shared" si="15"/>
        <v>25 May, 20</v>
      </c>
      <c r="X8" s="12" t="str">
        <f t="shared" si="16"/>
        <v>25-May-2020</v>
      </c>
      <c r="Y8" s="12" t="str">
        <f t="shared" si="17"/>
        <v>25 May, 2020</v>
      </c>
      <c r="Z8" s="33">
        <v>43976</v>
      </c>
      <c r="AA8" s="39">
        <v>43976</v>
      </c>
      <c r="AB8" s="34">
        <v>43976</v>
      </c>
      <c r="AC8" s="35">
        <v>43976</v>
      </c>
      <c r="AD8" s="36">
        <v>43976</v>
      </c>
      <c r="AE8" s="37">
        <v>43976</v>
      </c>
      <c r="AF8" s="38">
        <v>43976</v>
      </c>
      <c r="AG8" s="40">
        <v>43976</v>
      </c>
    </row>
    <row r="9" spans="1:33" x14ac:dyDescent="0.2">
      <c r="A9" s="28">
        <v>43976</v>
      </c>
      <c r="B9" s="25">
        <v>43976</v>
      </c>
      <c r="C9" s="26">
        <v>43976</v>
      </c>
      <c r="D9" s="27">
        <v>43976</v>
      </c>
      <c r="E9" s="12" t="str">
        <f t="shared" si="0"/>
        <v>20/5/25</v>
      </c>
      <c r="F9" s="12" t="str">
        <f t="shared" si="1"/>
        <v>20/05/25</v>
      </c>
      <c r="G9" s="12" t="str">
        <f t="shared" si="2"/>
        <v>2020, May 25</v>
      </c>
      <c r="H9" s="12" t="str">
        <f t="shared" si="3"/>
        <v>2020, May 25</v>
      </c>
      <c r="I9" s="12" t="str">
        <f t="shared" si="4"/>
        <v>2020, May 25</v>
      </c>
      <c r="J9" s="12" t="str">
        <f t="shared" si="5"/>
        <v>2020, May 25</v>
      </c>
      <c r="K9" s="12" t="str">
        <f t="shared" si="6"/>
        <v>052520</v>
      </c>
      <c r="L9" s="12" t="str">
        <f t="shared" si="7"/>
        <v>5/25/20</v>
      </c>
      <c r="M9" s="12" t="str">
        <f t="shared" si="8"/>
        <v>05/25/20</v>
      </c>
      <c r="N9" s="30">
        <v>43976</v>
      </c>
      <c r="O9" s="12" t="str">
        <f t="shared" si="9"/>
        <v>May 25, 2020</v>
      </c>
      <c r="P9" s="12" t="str">
        <f t="shared" si="10"/>
        <v>May 25, 2020</v>
      </c>
      <c r="Q9" s="12" t="str">
        <f t="shared" si="11"/>
        <v>May-25-20</v>
      </c>
      <c r="R9" s="12" t="str">
        <f t="shared" si="12"/>
        <v>May 25, 2020</v>
      </c>
      <c r="S9" s="31">
        <v>43976</v>
      </c>
      <c r="T9" s="12" t="str">
        <f t="shared" si="13"/>
        <v>25/05/20</v>
      </c>
      <c r="U9" s="12" t="str">
        <f t="shared" si="14"/>
        <v>25/05/20</v>
      </c>
      <c r="V9" s="32">
        <v>43976</v>
      </c>
      <c r="W9" s="12" t="str">
        <f t="shared" si="15"/>
        <v>25 May, 20</v>
      </c>
      <c r="X9" s="12" t="str">
        <f t="shared" si="16"/>
        <v>25-May-2020</v>
      </c>
      <c r="Y9" s="12" t="str">
        <f t="shared" si="17"/>
        <v>25 May, 2020</v>
      </c>
      <c r="Z9" s="33">
        <v>43976</v>
      </c>
      <c r="AA9" s="39">
        <v>43976</v>
      </c>
      <c r="AB9" s="34">
        <v>43976</v>
      </c>
      <c r="AC9" s="35">
        <v>43976</v>
      </c>
      <c r="AD9" s="36">
        <v>43976</v>
      </c>
      <c r="AE9" s="37">
        <v>43976</v>
      </c>
      <c r="AF9" s="38">
        <v>43976</v>
      </c>
      <c r="AG9" s="40">
        <v>43976</v>
      </c>
    </row>
    <row r="10" spans="1:33" x14ac:dyDescent="0.2">
      <c r="A10" s="28">
        <v>43551</v>
      </c>
      <c r="B10" s="25">
        <v>43551</v>
      </c>
      <c r="C10" s="26">
        <v>43551</v>
      </c>
      <c r="D10" s="27">
        <v>43551</v>
      </c>
      <c r="E10" s="12" t="str">
        <f t="shared" si="0"/>
        <v>19/3/27</v>
      </c>
      <c r="F10" s="12" t="str">
        <f t="shared" si="1"/>
        <v>19/03/27</v>
      </c>
      <c r="G10" s="12" t="str">
        <f t="shared" si="2"/>
        <v>2019, Mar 27</v>
      </c>
      <c r="H10" s="12" t="str">
        <f t="shared" si="3"/>
        <v>2019, Mar 27</v>
      </c>
      <c r="I10" s="12" t="str">
        <f t="shared" si="4"/>
        <v>2019, March 27</v>
      </c>
      <c r="J10" s="12" t="str">
        <f t="shared" si="5"/>
        <v>2019, March 27</v>
      </c>
      <c r="K10" s="12" t="str">
        <f t="shared" si="6"/>
        <v>032719</v>
      </c>
      <c r="L10" s="12" t="str">
        <f t="shared" si="7"/>
        <v>3/27/19</v>
      </c>
      <c r="M10" s="12" t="str">
        <f t="shared" si="8"/>
        <v>03/27/19</v>
      </c>
      <c r="N10" s="30">
        <v>43551</v>
      </c>
      <c r="O10" s="12" t="str">
        <f t="shared" si="9"/>
        <v>Mar 27, 2019</v>
      </c>
      <c r="P10" s="12" t="str">
        <f t="shared" si="10"/>
        <v>Mar 27, 2019</v>
      </c>
      <c r="Q10" s="12" t="str">
        <f t="shared" si="11"/>
        <v>Mar-27-19</v>
      </c>
      <c r="R10" s="12" t="str">
        <f t="shared" si="12"/>
        <v>March 27, 2019</v>
      </c>
      <c r="S10" s="31">
        <v>43551</v>
      </c>
      <c r="T10" s="12" t="str">
        <f t="shared" si="13"/>
        <v>27/03/19</v>
      </c>
      <c r="U10" s="12" t="str">
        <f t="shared" si="14"/>
        <v>27/03/19</v>
      </c>
      <c r="V10" s="32">
        <v>43551</v>
      </c>
      <c r="W10" s="12" t="str">
        <f t="shared" si="15"/>
        <v>27 March, 19</v>
      </c>
      <c r="X10" s="12" t="str">
        <f t="shared" si="16"/>
        <v>27-Mar-2019</v>
      </c>
      <c r="Y10" s="12" t="str">
        <f t="shared" si="17"/>
        <v>27 Mar, 2019</v>
      </c>
      <c r="Z10" s="33">
        <v>43551</v>
      </c>
      <c r="AA10" s="39">
        <v>43551</v>
      </c>
      <c r="AB10" s="34">
        <v>43551</v>
      </c>
      <c r="AC10" s="35">
        <v>43551</v>
      </c>
      <c r="AD10" s="36">
        <v>43551</v>
      </c>
      <c r="AE10" s="37">
        <v>43551</v>
      </c>
      <c r="AF10" s="38">
        <v>43551</v>
      </c>
      <c r="AG10" s="40">
        <v>43551</v>
      </c>
    </row>
    <row r="11" spans="1:33" x14ac:dyDescent="0.2">
      <c r="A11" s="28">
        <v>43498</v>
      </c>
      <c r="B11" s="25">
        <v>43498</v>
      </c>
      <c r="C11" s="26">
        <v>43498</v>
      </c>
      <c r="D11" s="27">
        <v>43498</v>
      </c>
      <c r="E11" s="12" t="str">
        <f t="shared" si="0"/>
        <v>19/2/2</v>
      </c>
      <c r="F11" s="12" t="str">
        <f t="shared" si="1"/>
        <v>19/02/02</v>
      </c>
      <c r="G11" s="12" t="str">
        <f t="shared" si="2"/>
        <v>2019, Feb 2</v>
      </c>
      <c r="H11" s="12" t="str">
        <f t="shared" si="3"/>
        <v>2019, Feb 02</v>
      </c>
      <c r="I11" s="12" t="str">
        <f t="shared" si="4"/>
        <v>2019, February 2</v>
      </c>
      <c r="J11" s="12" t="str">
        <f t="shared" si="5"/>
        <v>2019, February 02</v>
      </c>
      <c r="K11" s="12" t="str">
        <f t="shared" si="6"/>
        <v>020219</v>
      </c>
      <c r="L11" s="12" t="str">
        <f t="shared" si="7"/>
        <v>2/2/19</v>
      </c>
      <c r="M11" s="12" t="str">
        <f t="shared" si="8"/>
        <v>02/02/19</v>
      </c>
      <c r="N11" s="30">
        <v>43498</v>
      </c>
      <c r="O11" s="12" t="str">
        <f t="shared" si="9"/>
        <v>Feb 2, 2019</v>
      </c>
      <c r="P11" s="12" t="str">
        <f t="shared" si="10"/>
        <v>Feb 02, 2019</v>
      </c>
      <c r="Q11" s="12" t="str">
        <f t="shared" si="11"/>
        <v>Feb-02-19</v>
      </c>
      <c r="R11" s="12" t="str">
        <f t="shared" si="12"/>
        <v>February 2, 2019</v>
      </c>
      <c r="S11" s="31">
        <v>43498</v>
      </c>
      <c r="T11" s="12" t="str">
        <f t="shared" si="13"/>
        <v>2/02/19</v>
      </c>
      <c r="U11" s="12" t="str">
        <f t="shared" si="14"/>
        <v>02/02/19</v>
      </c>
      <c r="V11" s="32">
        <v>43498</v>
      </c>
      <c r="W11" s="12" t="str">
        <f t="shared" si="15"/>
        <v>2 February, 19</v>
      </c>
      <c r="X11" s="12" t="str">
        <f t="shared" si="16"/>
        <v>02-Feb-2019</v>
      </c>
      <c r="Y11" s="12" t="str">
        <f t="shared" si="17"/>
        <v>02 Feb, 2019</v>
      </c>
      <c r="Z11" s="33">
        <v>43498</v>
      </c>
      <c r="AA11" s="39">
        <v>43498</v>
      </c>
      <c r="AB11" s="34">
        <v>43498</v>
      </c>
      <c r="AC11" s="35">
        <v>43498</v>
      </c>
      <c r="AD11" s="36">
        <v>43498</v>
      </c>
      <c r="AE11" s="37">
        <v>43498</v>
      </c>
      <c r="AF11" s="38">
        <v>43498</v>
      </c>
      <c r="AG11" s="40">
        <v>43498</v>
      </c>
    </row>
    <row r="12" spans="1:33" x14ac:dyDescent="0.2">
      <c r="A12" s="28">
        <v>43658</v>
      </c>
      <c r="B12" s="25">
        <v>43658</v>
      </c>
      <c r="C12" s="26">
        <v>43658</v>
      </c>
      <c r="D12" s="27">
        <v>43658</v>
      </c>
      <c r="E12" s="12" t="str">
        <f t="shared" si="0"/>
        <v>19/7/12</v>
      </c>
      <c r="F12" s="12" t="str">
        <f t="shared" si="1"/>
        <v>19/07/12</v>
      </c>
      <c r="G12" s="12" t="str">
        <f t="shared" si="2"/>
        <v>2019, Jul 12</v>
      </c>
      <c r="H12" s="12" t="str">
        <f t="shared" si="3"/>
        <v>2019, Jul 12</v>
      </c>
      <c r="I12" s="12" t="str">
        <f t="shared" si="4"/>
        <v>2019, July 12</v>
      </c>
      <c r="J12" s="12" t="str">
        <f t="shared" si="5"/>
        <v>2019, July 12</v>
      </c>
      <c r="K12" s="12" t="str">
        <f t="shared" si="6"/>
        <v>071219</v>
      </c>
      <c r="L12" s="12" t="str">
        <f t="shared" si="7"/>
        <v>7/12/19</v>
      </c>
      <c r="M12" s="12" t="str">
        <f t="shared" si="8"/>
        <v>07/12/19</v>
      </c>
      <c r="N12" s="30">
        <v>43658</v>
      </c>
      <c r="O12" s="12" t="str">
        <f t="shared" si="9"/>
        <v>Jul 12, 2019</v>
      </c>
      <c r="P12" s="12" t="str">
        <f t="shared" si="10"/>
        <v>Jul 12, 2019</v>
      </c>
      <c r="Q12" s="12" t="str">
        <f t="shared" si="11"/>
        <v>Jul-12-19</v>
      </c>
      <c r="R12" s="12" t="str">
        <f t="shared" si="12"/>
        <v>July 12, 2019</v>
      </c>
      <c r="S12" s="31">
        <v>43658</v>
      </c>
      <c r="T12" s="12" t="str">
        <f t="shared" si="13"/>
        <v>12/07/19</v>
      </c>
      <c r="U12" s="12" t="str">
        <f t="shared" si="14"/>
        <v>12/07/19</v>
      </c>
      <c r="V12" s="32">
        <v>43658</v>
      </c>
      <c r="W12" s="12" t="str">
        <f t="shared" si="15"/>
        <v>12 July, 19</v>
      </c>
      <c r="X12" s="12" t="str">
        <f t="shared" si="16"/>
        <v>12-Jul-2019</v>
      </c>
      <c r="Y12" s="12" t="str">
        <f t="shared" si="17"/>
        <v>12 Jul, 2019</v>
      </c>
      <c r="Z12" s="33">
        <v>43658</v>
      </c>
      <c r="AA12" s="39">
        <v>43658</v>
      </c>
      <c r="AB12" s="34">
        <v>43658</v>
      </c>
      <c r="AC12" s="35">
        <v>43658</v>
      </c>
      <c r="AD12" s="36">
        <v>43658</v>
      </c>
      <c r="AE12" s="37">
        <v>43658</v>
      </c>
      <c r="AF12" s="38">
        <v>43658</v>
      </c>
      <c r="AG12" s="40">
        <v>43658</v>
      </c>
    </row>
    <row r="13" spans="1:33" x14ac:dyDescent="0.2">
      <c r="A13" s="28">
        <v>43475</v>
      </c>
      <c r="B13" s="25">
        <v>43475</v>
      </c>
      <c r="C13" s="26">
        <v>43475</v>
      </c>
      <c r="D13" s="27">
        <v>43475</v>
      </c>
      <c r="E13" s="12" t="str">
        <f t="shared" si="0"/>
        <v>19/1/10</v>
      </c>
      <c r="F13" s="12" t="str">
        <f t="shared" si="1"/>
        <v>19/01/10</v>
      </c>
      <c r="G13" s="12" t="str">
        <f t="shared" si="2"/>
        <v>2019, Jan 10</v>
      </c>
      <c r="H13" s="12" t="str">
        <f t="shared" si="3"/>
        <v>2019, Jan 10</v>
      </c>
      <c r="I13" s="12" t="str">
        <f t="shared" si="4"/>
        <v>2019, January 10</v>
      </c>
      <c r="J13" s="12" t="str">
        <f t="shared" si="5"/>
        <v>2019, January 10</v>
      </c>
      <c r="K13" s="12" t="str">
        <f t="shared" si="6"/>
        <v>011019</v>
      </c>
      <c r="L13" s="12" t="str">
        <f t="shared" si="7"/>
        <v>1/10/19</v>
      </c>
      <c r="M13" s="12" t="str">
        <f t="shared" si="8"/>
        <v>01/10/19</v>
      </c>
      <c r="N13" s="30">
        <v>43475</v>
      </c>
      <c r="O13" s="12" t="str">
        <f t="shared" si="9"/>
        <v>Jan 10, 2019</v>
      </c>
      <c r="P13" s="12" t="str">
        <f t="shared" si="10"/>
        <v>Jan 10, 2019</v>
      </c>
      <c r="Q13" s="12" t="str">
        <f t="shared" si="11"/>
        <v>Jan-10-19</v>
      </c>
      <c r="R13" s="12" t="str">
        <f t="shared" si="12"/>
        <v>January 10, 2019</v>
      </c>
      <c r="S13" s="31">
        <v>43475</v>
      </c>
      <c r="T13" s="12" t="str">
        <f t="shared" si="13"/>
        <v>10/01/19</v>
      </c>
      <c r="U13" s="12" t="str">
        <f t="shared" si="14"/>
        <v>10/01/19</v>
      </c>
      <c r="V13" s="32">
        <v>43475</v>
      </c>
      <c r="W13" s="12" t="str">
        <f t="shared" si="15"/>
        <v>10 January, 19</v>
      </c>
      <c r="X13" s="12" t="str">
        <f t="shared" si="16"/>
        <v>10-Jan-2019</v>
      </c>
      <c r="Y13" s="12" t="str">
        <f t="shared" si="17"/>
        <v>10 Jan, 2019</v>
      </c>
      <c r="Z13" s="33">
        <v>43475</v>
      </c>
      <c r="AA13" s="39">
        <v>43475</v>
      </c>
      <c r="AB13" s="34">
        <v>43475</v>
      </c>
      <c r="AC13" s="35">
        <v>43475</v>
      </c>
      <c r="AD13" s="36">
        <v>43475</v>
      </c>
      <c r="AE13" s="37">
        <v>43475</v>
      </c>
      <c r="AF13" s="38">
        <v>43475</v>
      </c>
      <c r="AG13" s="40">
        <v>43475</v>
      </c>
    </row>
    <row r="14" spans="1:33" x14ac:dyDescent="0.2">
      <c r="C14" s="29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G15" sqref="G15"/>
    </sheetView>
  </sheetViews>
  <sheetFormatPr defaultColWidth="9.140625" defaultRowHeight="12.75" x14ac:dyDescent="0.2"/>
  <cols>
    <col min="1" max="1" width="16.28515625" customWidth="1"/>
    <col min="2" max="2" width="15.5703125" customWidth="1"/>
    <col min="3" max="3" width="16.28515625" customWidth="1"/>
  </cols>
  <sheetData>
    <row r="1" spans="1:3" s="3" customFormat="1" ht="25.5" customHeight="1" x14ac:dyDescent="0.2">
      <c r="A1" s="1" t="s">
        <v>34</v>
      </c>
      <c r="B1" s="1" t="s">
        <v>35</v>
      </c>
      <c r="C1" s="13" t="s">
        <v>36</v>
      </c>
    </row>
    <row r="2" spans="1:3" s="4" customFormat="1" x14ac:dyDescent="0.2">
      <c r="A2" s="14">
        <v>1046</v>
      </c>
      <c r="B2" s="15">
        <v>1046</v>
      </c>
      <c r="C2" s="16">
        <v>37571</v>
      </c>
    </row>
    <row r="3" spans="1:3" s="4" customFormat="1" x14ac:dyDescent="0.2">
      <c r="A3" s="14">
        <v>44633</v>
      </c>
      <c r="B3" s="15">
        <v>44633</v>
      </c>
      <c r="C3" s="16">
        <v>44633</v>
      </c>
    </row>
    <row r="4" spans="1:3" s="4" customFormat="1" x14ac:dyDescent="0.2">
      <c r="A4" s="14">
        <v>43998</v>
      </c>
      <c r="B4" s="15">
        <v>43998</v>
      </c>
      <c r="C4" s="16">
        <v>43998</v>
      </c>
    </row>
    <row r="5" spans="1:3" s="4" customFormat="1" x14ac:dyDescent="0.2">
      <c r="A5" s="14">
        <v>44414</v>
      </c>
      <c r="B5" s="15">
        <v>44414</v>
      </c>
      <c r="C5" s="16">
        <v>44414</v>
      </c>
    </row>
    <row r="6" spans="1:3" s="4" customFormat="1" x14ac:dyDescent="0.2">
      <c r="A6" s="14">
        <v>44837</v>
      </c>
      <c r="B6" s="15">
        <v>44837</v>
      </c>
      <c r="C6" s="16">
        <v>44837</v>
      </c>
    </row>
    <row r="7" spans="1:3" s="4" customFormat="1" x14ac:dyDescent="0.2">
      <c r="A7" s="14">
        <v>44880</v>
      </c>
      <c r="B7" s="15">
        <v>44880</v>
      </c>
      <c r="C7" s="16">
        <v>44880</v>
      </c>
    </row>
    <row r="8" spans="1:3" s="4" customFormat="1" x14ac:dyDescent="0.2">
      <c r="A8" s="14">
        <v>43976</v>
      </c>
      <c r="B8" s="15">
        <v>43976</v>
      </c>
      <c r="C8" s="16">
        <v>43976</v>
      </c>
    </row>
    <row r="9" spans="1:3" s="4" customFormat="1" x14ac:dyDescent="0.2">
      <c r="A9" s="14">
        <v>43976</v>
      </c>
      <c r="B9" s="15">
        <v>43976</v>
      </c>
      <c r="C9" s="16">
        <v>43976</v>
      </c>
    </row>
    <row r="10" spans="1:3" s="4" customFormat="1" x14ac:dyDescent="0.2">
      <c r="A10" s="14">
        <v>43551</v>
      </c>
      <c r="B10" s="15">
        <v>43551</v>
      </c>
      <c r="C10" s="16">
        <v>43551</v>
      </c>
    </row>
    <row r="11" spans="1:3" s="4" customFormat="1" x14ac:dyDescent="0.2">
      <c r="A11" s="14">
        <v>43498</v>
      </c>
      <c r="B11" s="15">
        <v>43498</v>
      </c>
      <c r="C11" s="16">
        <v>43498</v>
      </c>
    </row>
    <row r="12" spans="1:3" s="4" customFormat="1" x14ac:dyDescent="0.2">
      <c r="A12" s="14">
        <v>43658</v>
      </c>
      <c r="B12" s="15">
        <v>43658</v>
      </c>
      <c r="C12" s="16">
        <v>43658</v>
      </c>
    </row>
    <row r="13" spans="1:3" s="4" customFormat="1" x14ac:dyDescent="0.2">
      <c r="A13" s="14">
        <v>43475</v>
      </c>
      <c r="B13" s="15">
        <v>43475</v>
      </c>
      <c r="C13" s="16">
        <v>43475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B16" sqref="B16"/>
    </sheetView>
  </sheetViews>
  <sheetFormatPr defaultColWidth="9.140625" defaultRowHeight="12.75" x14ac:dyDescent="0.2"/>
  <cols>
    <col min="1" max="2" width="19.28515625" style="5" customWidth="1"/>
    <col min="3" max="3" width="15.7109375" style="6" customWidth="1"/>
    <col min="4" max="4" width="15.85546875" style="4" customWidth="1"/>
    <col min="5" max="5" width="13.5703125" style="7" customWidth="1"/>
    <col min="6" max="6" width="16" style="4" customWidth="1"/>
    <col min="7" max="7" width="14" style="4" customWidth="1"/>
    <col min="8" max="8" width="17.5703125" style="4" customWidth="1"/>
    <col min="9" max="9" width="15.5703125" style="4" customWidth="1"/>
    <col min="10" max="10" width="12.140625" style="4" customWidth="1"/>
    <col min="11" max="11" width="10.85546875" style="4"/>
    <col min="12" max="16384" width="9.140625" style="4"/>
  </cols>
  <sheetData>
    <row r="1" spans="1:10" s="3" customFormat="1" ht="25.5" customHeight="1" x14ac:dyDescent="0.2">
      <c r="A1" s="8" t="s">
        <v>0</v>
      </c>
      <c r="B1" s="8" t="s">
        <v>1</v>
      </c>
      <c r="C1" s="1" t="s">
        <v>5</v>
      </c>
      <c r="D1" s="9" t="s">
        <v>6</v>
      </c>
      <c r="E1" s="9" t="s">
        <v>12</v>
      </c>
      <c r="F1" s="9" t="s">
        <v>20</v>
      </c>
      <c r="G1" s="1" t="s">
        <v>25</v>
      </c>
      <c r="H1" s="10" t="s">
        <v>37</v>
      </c>
      <c r="I1" s="41" t="s">
        <v>22</v>
      </c>
      <c r="J1" s="10" t="s">
        <v>28</v>
      </c>
    </row>
    <row r="2" spans="1:10" x14ac:dyDescent="0.2">
      <c r="A2" s="42" t="s">
        <v>38</v>
      </c>
      <c r="B2" s="2" t="s">
        <v>39</v>
      </c>
      <c r="C2" s="2" t="str">
        <f t="shared" ref="C2:C7" si="0">TEXT($A2,"YY/MM/DD")</f>
        <v>02/11/11</v>
      </c>
      <c r="D2" s="2" t="str">
        <f t="shared" ref="D2:D7" si="1">TEXT($A2,"YYYY, MMM D")</f>
        <v>1902, Nov 11</v>
      </c>
      <c r="E2" s="2" t="str">
        <f t="shared" ref="E2:E7" si="2">TEXT($A2,"MM/DD/YY")</f>
        <v>11/11/02</v>
      </c>
      <c r="F2" s="2" t="str">
        <f t="shared" ref="F2:F7" si="3">TEXT($A2,"DD/MM/YY")</f>
        <v>11/11/02</v>
      </c>
      <c r="G2" s="2" t="s">
        <v>40</v>
      </c>
      <c r="H2" s="2" t="s">
        <v>41</v>
      </c>
      <c r="I2" s="12" t="str">
        <f>TEXT($A2,"D MMMM, YY")</f>
        <v>11 November, 02</v>
      </c>
      <c r="J2" s="2" t="s">
        <v>40</v>
      </c>
    </row>
    <row r="3" spans="1:10" x14ac:dyDescent="0.2">
      <c r="A3" s="43" t="s">
        <v>42</v>
      </c>
      <c r="B3" s="2" t="s">
        <v>43</v>
      </c>
      <c r="C3" s="2" t="str">
        <f t="shared" si="0"/>
        <v>22/03/13</v>
      </c>
      <c r="D3" s="2" t="str">
        <f t="shared" si="1"/>
        <v>2022, Mar 13</v>
      </c>
      <c r="E3" s="2" t="str">
        <f t="shared" si="2"/>
        <v>03/13/22</v>
      </c>
      <c r="F3" s="2" t="str">
        <f t="shared" si="3"/>
        <v>13/03/22</v>
      </c>
      <c r="G3" s="2" t="s">
        <v>44</v>
      </c>
      <c r="H3" s="11" t="s">
        <v>45</v>
      </c>
      <c r="I3" s="12" t="str">
        <f>TEXT($A3,"D MMMM, YY")</f>
        <v>13 March, 22</v>
      </c>
      <c r="J3" s="2" t="s">
        <v>44</v>
      </c>
    </row>
    <row r="4" spans="1:10" x14ac:dyDescent="0.2">
      <c r="A4" s="43" t="s">
        <v>46</v>
      </c>
      <c r="B4" s="2" t="s">
        <v>47</v>
      </c>
      <c r="C4" s="2" t="str">
        <f t="shared" si="0"/>
        <v>20/06/16</v>
      </c>
      <c r="D4" s="2" t="str">
        <f t="shared" si="1"/>
        <v>2020, Jun 16</v>
      </c>
      <c r="E4" s="2" t="str">
        <f t="shared" si="2"/>
        <v>06/16/20</v>
      </c>
      <c r="F4" s="2" t="str">
        <f t="shared" si="3"/>
        <v>16/06/20</v>
      </c>
      <c r="G4" s="2" t="s">
        <v>48</v>
      </c>
      <c r="H4" s="11" t="s">
        <v>49</v>
      </c>
      <c r="I4" s="12" t="str">
        <f>TEXT($A4,"D MMMM, YY")</f>
        <v>16 June, 20</v>
      </c>
      <c r="J4" s="2" t="s">
        <v>48</v>
      </c>
    </row>
    <row r="5" spans="1:10" x14ac:dyDescent="0.2">
      <c r="A5" s="43" t="s">
        <v>50</v>
      </c>
      <c r="B5" s="2" t="s">
        <v>51</v>
      </c>
      <c r="C5" s="2" t="str">
        <f t="shared" si="0"/>
        <v>19/02/02</v>
      </c>
      <c r="D5" s="2" t="str">
        <f t="shared" si="1"/>
        <v>2019, Feb 2</v>
      </c>
      <c r="E5" s="2" t="str">
        <f t="shared" si="2"/>
        <v>02/02/19</v>
      </c>
      <c r="F5" s="2" t="str">
        <f t="shared" si="3"/>
        <v>02/02/19</v>
      </c>
      <c r="G5" s="2" t="s">
        <v>52</v>
      </c>
      <c r="H5" s="11" t="s">
        <v>53</v>
      </c>
      <c r="I5" s="12" t="str">
        <f>TEXT($A5,"D MMMM, YY")</f>
        <v>2 February, 19</v>
      </c>
      <c r="J5" s="2" t="s">
        <v>54</v>
      </c>
    </row>
    <row r="6" spans="1:10" x14ac:dyDescent="0.2">
      <c r="A6" s="43" t="s">
        <v>55</v>
      </c>
      <c r="B6" s="2" t="s">
        <v>56</v>
      </c>
      <c r="C6" s="2" t="str">
        <f t="shared" si="0"/>
        <v>19/07/12</v>
      </c>
      <c r="D6" s="2" t="str">
        <f t="shared" si="1"/>
        <v>2019, Jul 12</v>
      </c>
      <c r="E6" s="2" t="str">
        <f t="shared" si="2"/>
        <v>07/12/19</v>
      </c>
      <c r="F6" s="2" t="str">
        <f t="shared" si="3"/>
        <v>12/07/19</v>
      </c>
      <c r="G6" s="2" t="s">
        <v>57</v>
      </c>
      <c r="H6" s="11" t="s">
        <v>53</v>
      </c>
      <c r="I6" s="5"/>
      <c r="J6" s="2" t="s">
        <v>57</v>
      </c>
    </row>
    <row r="7" spans="1:10" x14ac:dyDescent="0.2">
      <c r="A7" s="43" t="s">
        <v>58</v>
      </c>
      <c r="B7" s="2" t="s">
        <v>59</v>
      </c>
      <c r="C7" s="2" t="str">
        <f t="shared" si="0"/>
        <v>19/01/10</v>
      </c>
      <c r="D7" s="2" t="str">
        <f t="shared" si="1"/>
        <v>2019, Jan 10</v>
      </c>
      <c r="E7" s="2" t="str">
        <f t="shared" si="2"/>
        <v>01/10/19</v>
      </c>
      <c r="F7" s="2" t="str">
        <f t="shared" si="3"/>
        <v>10/01/19</v>
      </c>
      <c r="G7" s="2" t="s">
        <v>60</v>
      </c>
      <c r="H7" s="11" t="s">
        <v>61</v>
      </c>
      <c r="I7" s="5"/>
      <c r="J7" s="2" t="s">
        <v>60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D21" sqref="D21"/>
    </sheetView>
  </sheetViews>
  <sheetFormatPr defaultColWidth="9.140625" defaultRowHeight="12.75" x14ac:dyDescent="0.2"/>
  <cols>
    <col min="1" max="1" width="15.7109375" customWidth="1"/>
    <col min="2" max="2" width="18.28515625" customWidth="1"/>
  </cols>
  <sheetData>
    <row r="1" spans="1:2" x14ac:dyDescent="0.2">
      <c r="A1" s="1" t="s">
        <v>62</v>
      </c>
      <c r="B1" s="1" t="s">
        <v>63</v>
      </c>
    </row>
    <row r="2" spans="1:2" x14ac:dyDescent="0.2">
      <c r="A2" s="2" t="s">
        <v>64</v>
      </c>
      <c r="B2" s="2" t="s">
        <v>65</v>
      </c>
    </row>
    <row r="3" spans="1:2" x14ac:dyDescent="0.2">
      <c r="A3" s="2" t="s">
        <v>66</v>
      </c>
      <c r="B3" s="2" t="s">
        <v>67</v>
      </c>
    </row>
    <row r="4" spans="1:2" x14ac:dyDescent="0.2">
      <c r="A4" s="2" t="s">
        <v>68</v>
      </c>
      <c r="B4" s="2" t="s">
        <v>69</v>
      </c>
    </row>
    <row r="5" spans="1:2" x14ac:dyDescent="0.2">
      <c r="A5" s="42" t="s">
        <v>70</v>
      </c>
      <c r="B5" s="2" t="s">
        <v>71</v>
      </c>
    </row>
    <row r="6" spans="1:2" x14ac:dyDescent="0.2">
      <c r="A6" s="42" t="s">
        <v>72</v>
      </c>
      <c r="B6" s="2" t="s">
        <v>73</v>
      </c>
    </row>
    <row r="7" spans="1:2" x14ac:dyDescent="0.2">
      <c r="A7" s="42" t="s">
        <v>74</v>
      </c>
      <c r="B7" s="2" t="s">
        <v>75</v>
      </c>
    </row>
    <row r="8" spans="1:2" x14ac:dyDescent="0.2">
      <c r="A8" s="42" t="s">
        <v>76</v>
      </c>
      <c r="B8" s="2" t="s">
        <v>77</v>
      </c>
    </row>
    <row r="9" spans="1:2" x14ac:dyDescent="0.2">
      <c r="A9" s="42" t="s">
        <v>76</v>
      </c>
      <c r="B9" s="2" t="s">
        <v>77</v>
      </c>
    </row>
    <row r="10" spans="1:2" x14ac:dyDescent="0.2">
      <c r="A10" s="42" t="s">
        <v>78</v>
      </c>
      <c r="B10" s="2" t="s">
        <v>79</v>
      </c>
    </row>
    <row r="11" spans="1:2" x14ac:dyDescent="0.2">
      <c r="A11" s="42" t="s">
        <v>80</v>
      </c>
      <c r="B11" s="2" t="s">
        <v>81</v>
      </c>
    </row>
    <row r="12" spans="1:2" x14ac:dyDescent="0.2">
      <c r="A12" s="42" t="s">
        <v>82</v>
      </c>
      <c r="B12" s="2" t="s">
        <v>83</v>
      </c>
    </row>
    <row r="13" spans="1:2" x14ac:dyDescent="0.2">
      <c r="A13" s="42" t="s">
        <v>84</v>
      </c>
      <c r="B13" s="2" t="s">
        <v>85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G7"/>
  <sheetViews>
    <sheetView tabSelected="1" topLeftCell="P1" workbookViewId="0">
      <pane ySplit="1" topLeftCell="A2" activePane="bottomLeft" state="frozen"/>
      <selection pane="bottomLeft" activeCell="W42" sqref="W42"/>
    </sheetView>
  </sheetViews>
  <sheetFormatPr defaultColWidth="9.140625" defaultRowHeight="12.75" x14ac:dyDescent="0.2"/>
  <cols>
    <col min="1" max="2" width="19.28515625" style="5" customWidth="1"/>
    <col min="3" max="3" width="15.42578125" style="17" customWidth="1"/>
    <col min="4" max="4" width="18.140625" style="18" customWidth="1"/>
    <col min="5" max="5" width="15.28515625" style="19" customWidth="1"/>
    <col min="6" max="6" width="15.7109375" style="6" customWidth="1"/>
    <col min="7" max="7" width="15.85546875" style="4" customWidth="1"/>
    <col min="8" max="9" width="16.85546875" style="4" customWidth="1"/>
    <col min="10" max="11" width="18.7109375" style="4" customWidth="1"/>
    <col min="12" max="12" width="13.5703125" style="4" customWidth="1"/>
    <col min="13" max="14" width="13.5703125" style="7" customWidth="1"/>
    <col min="15" max="15" width="14.140625" style="20" customWidth="1"/>
    <col min="16" max="16" width="16.42578125" style="20" customWidth="1"/>
    <col min="17" max="17" width="18.42578125" style="4" customWidth="1"/>
    <col min="18" max="18" width="17" style="4" customWidth="1"/>
    <col min="19" max="19" width="19.85546875" style="4" customWidth="1"/>
    <col min="20" max="20" width="21.28515625" style="4" customWidth="1"/>
    <col min="21" max="21" width="16" style="4" customWidth="1"/>
    <col min="22" max="22" width="17.7109375" style="4" customWidth="1"/>
    <col min="23" max="23" width="33.7109375" style="4" customWidth="1"/>
    <col min="24" max="24" width="20.28515625" style="4" customWidth="1"/>
    <col min="25" max="25" width="23.28515625" style="4" customWidth="1"/>
    <col min="26" max="26" width="14" style="4" customWidth="1"/>
    <col min="27" max="27" width="17.5703125" style="4" customWidth="1"/>
    <col min="28" max="28" width="15.5703125" style="4" customWidth="1"/>
    <col min="29" max="29" width="12.140625" style="4" customWidth="1"/>
    <col min="30" max="30" width="15.5703125" style="4" customWidth="1"/>
    <col min="31" max="31" width="12.140625" style="4" customWidth="1"/>
    <col min="32" max="33" width="15.5703125" style="4" customWidth="1"/>
    <col min="34" max="34" width="10.85546875" style="4"/>
    <col min="35" max="16384" width="9.140625" style="4"/>
  </cols>
  <sheetData>
    <row r="1" spans="1:33" s="3" customFormat="1" ht="25.5" customHeight="1" x14ac:dyDescent="0.2">
      <c r="A1" s="8" t="s">
        <v>0</v>
      </c>
      <c r="B1" s="8" t="s">
        <v>1</v>
      </c>
      <c r="C1" s="21" t="s">
        <v>2</v>
      </c>
      <c r="D1" s="22" t="s">
        <v>3</v>
      </c>
      <c r="E1" s="23" t="s">
        <v>4</v>
      </c>
      <c r="F1" s="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41" t="s">
        <v>22</v>
      </c>
      <c r="X1" s="9" t="s">
        <v>23</v>
      </c>
      <c r="Y1" s="41" t="s">
        <v>24</v>
      </c>
      <c r="Z1" s="1" t="s">
        <v>25</v>
      </c>
      <c r="AA1" s="10" t="s">
        <v>26</v>
      </c>
      <c r="AB1" s="10" t="s">
        <v>27</v>
      </c>
      <c r="AC1" s="10" t="s">
        <v>28</v>
      </c>
      <c r="AD1" s="1" t="s">
        <v>29</v>
      </c>
      <c r="AE1" s="1" t="s">
        <v>30</v>
      </c>
      <c r="AF1" s="1" t="s">
        <v>5</v>
      </c>
      <c r="AG1" s="1" t="s">
        <v>31</v>
      </c>
    </row>
    <row r="2" spans="1:33" x14ac:dyDescent="0.2">
      <c r="A2" s="24">
        <v>1046</v>
      </c>
      <c r="B2" s="25">
        <v>1046</v>
      </c>
      <c r="C2" s="12" t="str">
        <f>TEXT($A2,"YYMMDD")</f>
        <v>021111</v>
      </c>
      <c r="D2" s="12" t="str">
        <f>TEXT($A2,"YYMMMDD")</f>
        <v>02Nov11</v>
      </c>
      <c r="E2" s="12" t="str">
        <f>TEXT($A2,"YY/M/D")</f>
        <v>02/11/11</v>
      </c>
      <c r="F2" s="12" t="str">
        <f>TEXT($A2,"YY/MM/DD")</f>
        <v>02/11/11</v>
      </c>
      <c r="G2" s="12" t="str">
        <f>TEXT($A2,"YYYY, MMM D")</f>
        <v>1902, Nov 11</v>
      </c>
      <c r="H2" s="12" t="str">
        <f>TEXT($A2,"YYYY, MMM DD")</f>
        <v>1902, Nov 11</v>
      </c>
      <c r="I2" s="12" t="str">
        <f>TEXT($A2,"YYYY, MMMM D")</f>
        <v>1902, November 11</v>
      </c>
      <c r="J2" s="12" t="str">
        <f>TEXT($A2,"YYYY, MMMM DD")</f>
        <v>1902, November 11</v>
      </c>
      <c r="K2" s="12" t="str">
        <f>TEXT($A2,"MMDDYY")</f>
        <v>111102</v>
      </c>
      <c r="L2" s="12" t="str">
        <f>TEXT($A2,"M/D/YY")</f>
        <v>11/11/02</v>
      </c>
      <c r="M2" s="12" t="str">
        <f>TEXT($A2,"MM/DD/YY")</f>
        <v>11/11/02</v>
      </c>
      <c r="N2" s="12" t="str">
        <f>TEXT($A2,"MMMDDYY")</f>
        <v>Nov1102</v>
      </c>
      <c r="O2" s="12" t="str">
        <f>TEXT($A2,"MMM D, YYYY")</f>
        <v>Nov 11, 1902</v>
      </c>
      <c r="P2" s="12" t="str">
        <f>TEXT($A2,"MMM DD, YYYY")</f>
        <v>Nov 11, 1902</v>
      </c>
      <c r="Q2" s="12" t="str">
        <f>TEXT($A2,"MMM-DD-YY")</f>
        <v>Nov-11-02</v>
      </c>
      <c r="R2" s="12" t="str">
        <f>TEXT($A2,"MMMM D, YYYY")</f>
        <v>November 11, 1902</v>
      </c>
      <c r="S2" s="12" t="str">
        <f>TEXT($A2,"DDMMYY")</f>
        <v>111102</v>
      </c>
      <c r="T2" s="12" t="str">
        <f>TEXT($A2,"D/MM/YY")</f>
        <v>11/11/02</v>
      </c>
      <c r="U2" s="12" t="str">
        <f>TEXT($A2,"DD/MM/YY")</f>
        <v>11/11/02</v>
      </c>
      <c r="V2" s="12" t="str">
        <f>TEXT($A2,"DDMMMYY")</f>
        <v>11Nov02</v>
      </c>
      <c r="W2" s="12" t="str">
        <f>TEXT($A2,"D MMMM, YY")</f>
        <v>11 November, 02</v>
      </c>
      <c r="X2" s="12" t="str">
        <f>TEXT($A2,"DD-MMM-YYYY")</f>
        <v>11-Nov-1902</v>
      </c>
      <c r="Y2" s="12" t="str">
        <f>TEXT($A2,"DD MMM, YYYY")</f>
        <v>11 Nov, 1902</v>
      </c>
      <c r="Z2" s="33">
        <v>1046</v>
      </c>
      <c r="AA2" s="24">
        <v>1046</v>
      </c>
      <c r="AB2" s="34">
        <v>1046</v>
      </c>
      <c r="AC2" s="35">
        <v>1046</v>
      </c>
      <c r="AD2" s="36">
        <v>1046</v>
      </c>
      <c r="AE2" s="37">
        <v>1046</v>
      </c>
      <c r="AF2" s="38">
        <v>1046</v>
      </c>
      <c r="AG2" s="40">
        <v>1046</v>
      </c>
    </row>
    <row r="3" spans="1:33" x14ac:dyDescent="0.2">
      <c r="A3" s="28">
        <v>44633</v>
      </c>
      <c r="B3" s="25">
        <v>44633</v>
      </c>
      <c r="C3" s="12" t="str">
        <f>TEXT($A3,"YYMMDD")</f>
        <v>220313</v>
      </c>
      <c r="D3" s="12" t="str">
        <f>TEXT($A3,"YYMMMDD")</f>
        <v>22Mar13</v>
      </c>
      <c r="E3" s="12" t="str">
        <f>TEXT($A3,"YY/M/D")</f>
        <v>22/3/13</v>
      </c>
      <c r="F3" s="12" t="str">
        <f>TEXT($A3,"YY/MM/DD")</f>
        <v>22/03/13</v>
      </c>
      <c r="G3" s="12" t="str">
        <f>TEXT($A3,"YYYY, MMM D")</f>
        <v>2022, Mar 13</v>
      </c>
      <c r="H3" s="12" t="str">
        <f>TEXT($A3,"YYYY, MMM DD")</f>
        <v>2022, Mar 13</v>
      </c>
      <c r="I3" s="12" t="str">
        <f>TEXT($A3,"YYYY, MMMM D")</f>
        <v>2022, March 13</v>
      </c>
      <c r="J3" s="12" t="str">
        <f>TEXT($A3,"YYYY, MMMM DD")</f>
        <v>2022, March 13</v>
      </c>
      <c r="K3" s="12" t="str">
        <f>TEXT($A3,"MMDDYY")</f>
        <v>031322</v>
      </c>
      <c r="L3" s="12" t="str">
        <f>TEXT($A3,"M/D/YY")</f>
        <v>3/13/22</v>
      </c>
      <c r="M3" s="12" t="str">
        <f>TEXT($A3,"MM/DD/YY")</f>
        <v>03/13/22</v>
      </c>
      <c r="N3" s="12" t="str">
        <f>TEXT($A3,"MMMDDYY")</f>
        <v>Mar1322</v>
      </c>
      <c r="O3" s="12" t="str">
        <f>TEXT($A3,"MMM D, YYYY")</f>
        <v>Mar 13, 2022</v>
      </c>
      <c r="P3" s="12" t="str">
        <f>TEXT($A3,"MMM DD, YYYY")</f>
        <v>Mar 13, 2022</v>
      </c>
      <c r="Q3" s="12" t="str">
        <f>TEXT($A3,"MMM-DD-YY")</f>
        <v>Mar-13-22</v>
      </c>
      <c r="R3" s="12" t="str">
        <f>TEXT($A3,"MMMM D, YYYY")</f>
        <v>March 13, 2022</v>
      </c>
      <c r="S3" s="12" t="str">
        <f>TEXT($A3,"DDMMYY")</f>
        <v>130322</v>
      </c>
      <c r="T3" s="12" t="str">
        <f>TEXT($A3,"D/MM/YY")</f>
        <v>13/03/22</v>
      </c>
      <c r="U3" s="12" t="str">
        <f>TEXT($A3,"DD/MM/YY")</f>
        <v>13/03/22</v>
      </c>
      <c r="V3" s="12" t="str">
        <f>TEXT($A3,"DDMMMYY")</f>
        <v>13Mar22</v>
      </c>
      <c r="W3" s="12" t="str">
        <f>TEXT($A3,"D MMMM, YY")</f>
        <v>13 March, 22</v>
      </c>
      <c r="X3" s="12" t="str">
        <f>TEXT($A3,"DD-MMM-YYYY")</f>
        <v>13-Mar-2022</v>
      </c>
      <c r="Y3" s="12" t="str">
        <f>TEXT($A3,"DD MMM, YYYY")</f>
        <v>13 Mar, 2022</v>
      </c>
      <c r="Z3" s="33">
        <v>44633</v>
      </c>
      <c r="AA3" s="28">
        <v>44633</v>
      </c>
      <c r="AB3" s="34">
        <v>44633</v>
      </c>
      <c r="AC3" s="35">
        <v>44633</v>
      </c>
      <c r="AD3" s="36">
        <v>44633</v>
      </c>
      <c r="AE3" s="37">
        <v>44633</v>
      </c>
      <c r="AF3" s="38">
        <v>44633</v>
      </c>
      <c r="AG3" s="40">
        <v>44633</v>
      </c>
    </row>
    <row r="4" spans="1:33" x14ac:dyDescent="0.2">
      <c r="A4" s="28">
        <v>43976</v>
      </c>
      <c r="B4" s="25">
        <v>43976</v>
      </c>
      <c r="C4" s="12" t="str">
        <f>TEXT($A4,"YYMMDD")</f>
        <v>200525</v>
      </c>
      <c r="D4" s="12" t="str">
        <f>TEXT($A4,"YYMMMDD")</f>
        <v>20May25</v>
      </c>
      <c r="E4" s="12" t="str">
        <f>TEXT($A4,"YY/M/D")</f>
        <v>20/5/25</v>
      </c>
      <c r="F4" s="12" t="str">
        <f>TEXT($A4,"YY/MM/DD")</f>
        <v>20/05/25</v>
      </c>
      <c r="G4" s="12" t="str">
        <f>TEXT($A4,"YYYY, MMM D")</f>
        <v>2020, May 25</v>
      </c>
      <c r="H4" s="12" t="str">
        <f>TEXT($A4,"YYYY, MMM DD")</f>
        <v>2020, May 25</v>
      </c>
      <c r="I4" s="12" t="str">
        <f>TEXT($A4,"YYYY, MMMM D")</f>
        <v>2020, May 25</v>
      </c>
      <c r="J4" s="12" t="str">
        <f>TEXT($A4,"YYYY, MMMM DD")</f>
        <v>2020, May 25</v>
      </c>
      <c r="K4" s="12" t="str">
        <f>TEXT($A4,"MMDDYY")</f>
        <v>052520</v>
      </c>
      <c r="L4" s="12" t="str">
        <f>TEXT($A4,"M/D/YY")</f>
        <v>5/25/20</v>
      </c>
      <c r="M4" s="12" t="str">
        <f>TEXT($A4,"MM/DD/YY")</f>
        <v>05/25/20</v>
      </c>
      <c r="N4" s="12" t="str">
        <f>TEXT($A4,"MMMDDYY")</f>
        <v>May2520</v>
      </c>
      <c r="O4" s="12" t="str">
        <f>TEXT($A4,"MMM D, YYYY")</f>
        <v>May 25, 2020</v>
      </c>
      <c r="P4" s="12" t="str">
        <f>TEXT($A4,"MMM DD, YYYY")</f>
        <v>May 25, 2020</v>
      </c>
      <c r="Q4" s="12" t="str">
        <f>TEXT($A4,"MMM-DD-YY")</f>
        <v>May-25-20</v>
      </c>
      <c r="R4" s="12" t="str">
        <f>TEXT($A4,"MMMM D, YYYY")</f>
        <v>May 25, 2020</v>
      </c>
      <c r="S4" s="12" t="str">
        <f>TEXT($A4,"DDMMYY")</f>
        <v>250520</v>
      </c>
      <c r="T4" s="12" t="str">
        <f>TEXT($A4,"D/MM/YY")</f>
        <v>25/05/20</v>
      </c>
      <c r="U4" s="12" t="str">
        <f>TEXT($A4,"DD/MM/YY")</f>
        <v>25/05/20</v>
      </c>
      <c r="V4" s="12" t="str">
        <f>TEXT($A4,"DDMMMYY")</f>
        <v>25May20</v>
      </c>
      <c r="W4" s="12" t="str">
        <f>TEXT($A4,"D MMMM, YY")</f>
        <v>25 May, 20</v>
      </c>
      <c r="X4" s="12" t="str">
        <f>TEXT($A4,"DD-MMM-YYYY")</f>
        <v>25-May-2020</v>
      </c>
      <c r="Y4" s="12" t="str">
        <f>TEXT($A4,"DD MMM, YYYY")</f>
        <v>25 May, 2020</v>
      </c>
      <c r="Z4" s="33">
        <v>43976</v>
      </c>
      <c r="AA4" s="39">
        <v>43976</v>
      </c>
      <c r="AB4" s="34">
        <v>43976</v>
      </c>
      <c r="AC4" s="35">
        <v>43976</v>
      </c>
      <c r="AD4" s="36">
        <v>43976</v>
      </c>
      <c r="AE4" s="37">
        <v>43976</v>
      </c>
      <c r="AF4" s="38">
        <v>43976</v>
      </c>
      <c r="AG4" s="40">
        <v>43976</v>
      </c>
    </row>
    <row r="5" spans="1:33" x14ac:dyDescent="0.2">
      <c r="A5" s="28">
        <v>43475</v>
      </c>
      <c r="B5" s="25">
        <v>43475</v>
      </c>
      <c r="C5" s="12" t="str">
        <f>TEXT($A5,"YYMMDD")</f>
        <v>190110</v>
      </c>
      <c r="D5" s="12" t="str">
        <f>TEXT($A5,"YYMMMDD")</f>
        <v>19Jan10</v>
      </c>
      <c r="E5" s="12" t="str">
        <f>TEXT($A5,"YY/M/D")</f>
        <v>19/1/10</v>
      </c>
      <c r="F5" s="12" t="str">
        <f>TEXT($A5,"YY/MM/DD")</f>
        <v>19/01/10</v>
      </c>
      <c r="G5" s="12" t="str">
        <f>TEXT($A5,"YYYY, MMM D")</f>
        <v>2019, Jan 10</v>
      </c>
      <c r="H5" s="12" t="str">
        <f>TEXT($A5,"YYYY, MMM DD")</f>
        <v>2019, Jan 10</v>
      </c>
      <c r="I5" s="12" t="str">
        <f>TEXT($A5,"YYYY, MMMM D")</f>
        <v>2019, January 10</v>
      </c>
      <c r="J5" s="12" t="str">
        <f>TEXT($A5,"YYYY, MMMM DD")</f>
        <v>2019, January 10</v>
      </c>
      <c r="K5" s="12" t="str">
        <f>TEXT($A5,"MMDDYY")</f>
        <v>011019</v>
      </c>
      <c r="L5" s="12" t="str">
        <f>TEXT($A5,"M/D/YY")</f>
        <v>1/10/19</v>
      </c>
      <c r="M5" s="12" t="str">
        <f>TEXT($A5,"MM/DD/YY")</f>
        <v>01/10/19</v>
      </c>
      <c r="N5" s="12" t="str">
        <f>TEXT($A5,"MMMDDYY")</f>
        <v>Jan1019</v>
      </c>
      <c r="O5" s="12" t="str">
        <f>TEXT($A5,"MMM D, YYYY")</f>
        <v>Jan 10, 2019</v>
      </c>
      <c r="P5" s="12" t="str">
        <f>TEXT($A5,"MMM DD, YYYY")</f>
        <v>Jan 10, 2019</v>
      </c>
      <c r="Q5" s="12" t="str">
        <f>TEXT($A5,"MMM-DD-YY")</f>
        <v>Jan-10-19</v>
      </c>
      <c r="R5" s="12" t="str">
        <f>TEXT($A5,"MMMM D, YYYY")</f>
        <v>January 10, 2019</v>
      </c>
      <c r="S5" s="12" t="str">
        <f>TEXT($A5,"DDMMYY")</f>
        <v>100119</v>
      </c>
      <c r="T5" s="12" t="str">
        <f>TEXT($A5,"D/MM/YY")</f>
        <v>10/01/19</v>
      </c>
      <c r="U5" s="12" t="str">
        <f>TEXT($A5,"DD/MM/YY")</f>
        <v>10/01/19</v>
      </c>
      <c r="V5" s="12" t="str">
        <f>TEXT($A5,"DDMMMYY")</f>
        <v>10Jan19</v>
      </c>
      <c r="W5" s="12" t="str">
        <f>TEXT($A5,"D MMMM, YY")</f>
        <v>10 January, 19</v>
      </c>
      <c r="X5" s="12" t="str">
        <f>TEXT($A5,"DD-MMM-YYYY")</f>
        <v>10-Jan-2019</v>
      </c>
      <c r="Y5" s="12" t="str">
        <f>TEXT($A5,"DD MMM, YYYY")</f>
        <v>10 Jan, 2019</v>
      </c>
      <c r="Z5" s="33">
        <v>43475</v>
      </c>
      <c r="AA5" s="39">
        <v>43475</v>
      </c>
      <c r="AB5" s="34">
        <v>43475</v>
      </c>
      <c r="AC5" s="35">
        <v>43475</v>
      </c>
      <c r="AD5" s="36">
        <v>43475</v>
      </c>
      <c r="AE5" s="37">
        <v>43475</v>
      </c>
      <c r="AF5" s="38">
        <v>43475</v>
      </c>
      <c r="AG5" s="40">
        <v>43475</v>
      </c>
    </row>
    <row r="6" spans="1:33" x14ac:dyDescent="0.2">
      <c r="A6" s="5" t="s">
        <v>32</v>
      </c>
      <c r="B6" s="5" t="s">
        <v>32</v>
      </c>
      <c r="C6" s="5" t="s">
        <v>32</v>
      </c>
      <c r="D6" s="5" t="s">
        <v>32</v>
      </c>
      <c r="E6" s="5" t="s">
        <v>32</v>
      </c>
      <c r="F6" s="5" t="s">
        <v>32</v>
      </c>
      <c r="G6" s="5" t="s">
        <v>32</v>
      </c>
      <c r="H6" s="5" t="s">
        <v>32</v>
      </c>
      <c r="I6" s="5" t="s">
        <v>32</v>
      </c>
      <c r="J6" s="5" t="s">
        <v>32</v>
      </c>
      <c r="K6" s="5" t="s">
        <v>32</v>
      </c>
      <c r="L6" s="5" t="s">
        <v>32</v>
      </c>
      <c r="M6" s="5" t="s">
        <v>32</v>
      </c>
      <c r="N6" s="5" t="s">
        <v>32</v>
      </c>
      <c r="O6" s="5" t="s">
        <v>32</v>
      </c>
      <c r="P6" s="5" t="s">
        <v>32</v>
      </c>
      <c r="Q6" s="5" t="s">
        <v>32</v>
      </c>
      <c r="R6" s="5" t="s">
        <v>32</v>
      </c>
      <c r="S6" s="5" t="s">
        <v>32</v>
      </c>
      <c r="T6" s="5" t="s">
        <v>32</v>
      </c>
      <c r="U6" s="5" t="s">
        <v>32</v>
      </c>
      <c r="V6" s="5" t="s">
        <v>32</v>
      </c>
      <c r="W6" s="5" t="s">
        <v>32</v>
      </c>
      <c r="X6" s="5" t="s">
        <v>32</v>
      </c>
      <c r="Y6" s="5" t="s">
        <v>32</v>
      </c>
      <c r="Z6" s="5" t="s">
        <v>32</v>
      </c>
      <c r="AA6" s="5" t="s">
        <v>32</v>
      </c>
      <c r="AB6" s="5" t="s">
        <v>32</v>
      </c>
      <c r="AC6" s="5" t="s">
        <v>32</v>
      </c>
      <c r="AD6" s="5" t="s">
        <v>32</v>
      </c>
      <c r="AE6" s="5" t="s">
        <v>32</v>
      </c>
      <c r="AF6" s="5" t="s">
        <v>32</v>
      </c>
      <c r="AG6" s="5" t="s">
        <v>32</v>
      </c>
    </row>
    <row r="7" spans="1:33" x14ac:dyDescent="0.2">
      <c r="B7" s="5" t="s">
        <v>33</v>
      </c>
      <c r="C7" s="5" t="s">
        <v>33</v>
      </c>
      <c r="D7" s="5" t="s">
        <v>33</v>
      </c>
      <c r="E7" s="5" t="s">
        <v>33</v>
      </c>
      <c r="F7" s="5" t="s">
        <v>33</v>
      </c>
      <c r="G7" s="5" t="s">
        <v>33</v>
      </c>
      <c r="H7" s="5" t="s">
        <v>33</v>
      </c>
      <c r="I7" s="5" t="s">
        <v>33</v>
      </c>
      <c r="J7" s="5" t="s">
        <v>33</v>
      </c>
      <c r="K7" s="5" t="s">
        <v>33</v>
      </c>
      <c r="L7" s="5" t="s">
        <v>33</v>
      </c>
      <c r="M7" s="5" t="s">
        <v>33</v>
      </c>
      <c r="N7" s="5" t="s">
        <v>33</v>
      </c>
      <c r="O7" s="5" t="s">
        <v>33</v>
      </c>
      <c r="P7" s="5" t="s">
        <v>33</v>
      </c>
      <c r="Q7" s="5" t="s">
        <v>33</v>
      </c>
      <c r="R7" s="5" t="s">
        <v>33</v>
      </c>
      <c r="S7" s="5" t="s">
        <v>33</v>
      </c>
      <c r="T7" s="5" t="s">
        <v>33</v>
      </c>
      <c r="U7" s="5" t="s">
        <v>33</v>
      </c>
      <c r="V7" s="5" t="s">
        <v>33</v>
      </c>
      <c r="W7" s="5" t="s">
        <v>33</v>
      </c>
      <c r="X7" s="5" t="s">
        <v>33</v>
      </c>
      <c r="Y7" s="5" t="s">
        <v>33</v>
      </c>
      <c r="Z7" s="5" t="s">
        <v>33</v>
      </c>
      <c r="AA7" s="5" t="s">
        <v>33</v>
      </c>
      <c r="AB7" s="5" t="s">
        <v>33</v>
      </c>
      <c r="AC7" s="5" t="s">
        <v>33</v>
      </c>
      <c r="AD7" s="5" t="s">
        <v>33</v>
      </c>
      <c r="AE7" s="5" t="s">
        <v>33</v>
      </c>
      <c r="AF7" s="5" t="s">
        <v>33</v>
      </c>
      <c r="AG7" s="5" t="s">
        <v>33</v>
      </c>
    </row>
  </sheetData>
  <phoneticPr fontId="5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valid_date format</vt:lpstr>
      <vt:lpstr>中文_date format</vt:lpstr>
      <vt:lpstr>valid_text format</vt:lpstr>
      <vt:lpstr>中文_text format</vt:lpstr>
      <vt:lpstr>invalid_date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2009-03-27T23:19:00Z</dcterms:created>
  <dcterms:modified xsi:type="dcterms:W3CDTF">2022-11-28T07:04:50Z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59971E197F7F44F3A5BC225766521B1A</vt:lpwstr>
  </property>
  <property fmtid="{D5CDD505-2E9C-101B-9397-08002B2CF9AE}" pid="3" name="KSOProductBuildVer">
    <vt:lpwstr>2052-11.1.0.11797</vt:lpwstr>
  </property>
</Properties>
</file>